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arinbothra/Dropbox/Aarin/NPCTR_Research/Raw/"/>
    </mc:Choice>
  </mc:AlternateContent>
  <xr:revisionPtr revIDLastSave="0" documentId="13_ncr:1_{A0A7EDE2-82BA-8D4E-B707-C9C5B20759E1}" xr6:coauthVersionLast="47" xr6:coauthVersionMax="47" xr10:uidLastSave="{00000000-0000-0000-0000-000000000000}"/>
  <bookViews>
    <workbookView xWindow="0" yWindow="640" windowWidth="29400" windowHeight="16640" xr2:uid="{1855595D-F2B8-484C-8E86-26B56603A976}"/>
  </bookViews>
  <sheets>
    <sheet name="Sheet1" sheetId="1" r:id="rId1"/>
  </sheets>
  <functionGroups builtInGroupCount="19"/>
  <definedNames>
    <definedName name="_xlnm._FilterDatabase" localSheetId="0" hidden="1">Sheet1!$AL$1:$AL$778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778" i="1" l="1"/>
  <c r="N778" i="1"/>
  <c r="T777" i="1"/>
  <c r="N777" i="1"/>
  <c r="W777" i="1" s="1"/>
  <c r="T776" i="1"/>
  <c r="P776" i="1"/>
  <c r="O776" i="1"/>
  <c r="N776" i="1"/>
  <c r="W776" i="1" s="1"/>
  <c r="T775" i="1"/>
  <c r="W775" i="1" s="1"/>
  <c r="N775" i="1"/>
  <c r="T774" i="1"/>
  <c r="N774" i="1"/>
  <c r="T773" i="1"/>
  <c r="N773" i="1"/>
  <c r="T772" i="1"/>
  <c r="P772" i="1"/>
  <c r="O772" i="1"/>
  <c r="N772" i="1"/>
  <c r="T771" i="1"/>
  <c r="N771" i="1"/>
  <c r="T770" i="1"/>
  <c r="Y770" i="1" s="1"/>
  <c r="N770" i="1"/>
  <c r="T769" i="1"/>
  <c r="N769" i="1"/>
  <c r="T768" i="1"/>
  <c r="Y768" i="1" s="1"/>
  <c r="N768" i="1"/>
  <c r="T767" i="1"/>
  <c r="N767" i="1"/>
  <c r="T766" i="1"/>
  <c r="P766" i="1"/>
  <c r="O766" i="1"/>
  <c r="N766" i="1"/>
  <c r="T765" i="1"/>
  <c r="N765" i="1"/>
  <c r="T764" i="1"/>
  <c r="N764" i="1"/>
  <c r="T763" i="1"/>
  <c r="N763" i="1"/>
  <c r="T762" i="1"/>
  <c r="Y762" i="1" s="1"/>
  <c r="P762" i="1"/>
  <c r="Q762" i="1" s="1"/>
  <c r="O762" i="1"/>
  <c r="N762" i="1"/>
  <c r="T761" i="1"/>
  <c r="N761" i="1"/>
  <c r="T760" i="1"/>
  <c r="N760" i="1"/>
  <c r="T759" i="1"/>
  <c r="N759" i="1"/>
  <c r="T758" i="1"/>
  <c r="P758" i="1"/>
  <c r="O758" i="1"/>
  <c r="N758" i="1"/>
  <c r="T757" i="1"/>
  <c r="N757" i="1"/>
  <c r="T756" i="1"/>
  <c r="Y756" i="1" s="1"/>
  <c r="N756" i="1"/>
  <c r="T755" i="1"/>
  <c r="N755" i="1"/>
  <c r="Y755" i="1" s="1"/>
  <c r="T754" i="1"/>
  <c r="N754" i="1"/>
  <c r="T753" i="1"/>
  <c r="W753" i="1" s="1"/>
  <c r="P753" i="1"/>
  <c r="O753" i="1"/>
  <c r="N753" i="1"/>
  <c r="T752" i="1"/>
  <c r="N752" i="1"/>
  <c r="T751" i="1"/>
  <c r="N751" i="1"/>
  <c r="T750" i="1"/>
  <c r="N750" i="1"/>
  <c r="T749" i="1"/>
  <c r="W749" i="1" s="1"/>
  <c r="N749" i="1"/>
  <c r="T748" i="1"/>
  <c r="P748" i="1"/>
  <c r="O748" i="1"/>
  <c r="N748" i="1"/>
  <c r="T747" i="1"/>
  <c r="N747" i="1"/>
  <c r="W747" i="1" s="1"/>
  <c r="Y747" i="1" s="1"/>
  <c r="T746" i="1"/>
  <c r="Y746" i="1" s="1"/>
  <c r="N746" i="1"/>
  <c r="T745" i="1"/>
  <c r="N745" i="1"/>
  <c r="T744" i="1"/>
  <c r="P744" i="1"/>
  <c r="O744" i="1"/>
  <c r="N744" i="1"/>
  <c r="T743" i="1"/>
  <c r="N743" i="1"/>
  <c r="T742" i="1"/>
  <c r="N742" i="1"/>
  <c r="T741" i="1"/>
  <c r="N741" i="1"/>
  <c r="T740" i="1"/>
  <c r="Y740" i="1" s="1"/>
  <c r="P740" i="1"/>
  <c r="O740" i="1"/>
  <c r="N740" i="1"/>
  <c r="T739" i="1"/>
  <c r="N739" i="1"/>
  <c r="T738" i="1"/>
  <c r="N738" i="1"/>
  <c r="T737" i="1"/>
  <c r="N737" i="1"/>
  <c r="T736" i="1"/>
  <c r="P736" i="1"/>
  <c r="O736" i="1"/>
  <c r="Q736" i="1" s="1"/>
  <c r="N736" i="1"/>
  <c r="T735" i="1"/>
  <c r="N735" i="1"/>
  <c r="T734" i="1"/>
  <c r="N734" i="1"/>
  <c r="Y734" i="1" s="1"/>
  <c r="T733" i="1"/>
  <c r="N733" i="1"/>
  <c r="T732" i="1"/>
  <c r="P732" i="1"/>
  <c r="O732" i="1"/>
  <c r="N732" i="1"/>
  <c r="T731" i="1"/>
  <c r="N731" i="1"/>
  <c r="T730" i="1"/>
  <c r="N730" i="1"/>
  <c r="T729" i="1"/>
  <c r="P729" i="1"/>
  <c r="O729" i="1"/>
  <c r="N729" i="1"/>
  <c r="T728" i="1"/>
  <c r="N728" i="1"/>
  <c r="T727" i="1"/>
  <c r="N727" i="1"/>
  <c r="T726" i="1"/>
  <c r="Y726" i="1" s="1"/>
  <c r="N726" i="1"/>
  <c r="T725" i="1"/>
  <c r="P725" i="1"/>
  <c r="O725" i="1"/>
  <c r="N725" i="1"/>
  <c r="T724" i="1"/>
  <c r="N724" i="1"/>
  <c r="T723" i="1"/>
  <c r="N723" i="1"/>
  <c r="T722" i="1"/>
  <c r="N722" i="1"/>
  <c r="T721" i="1"/>
  <c r="N721" i="1"/>
  <c r="T720" i="1"/>
  <c r="P720" i="1"/>
  <c r="O720" i="1"/>
  <c r="N720" i="1"/>
  <c r="T719" i="1"/>
  <c r="N719" i="1"/>
  <c r="T718" i="1"/>
  <c r="N718" i="1"/>
  <c r="T717" i="1"/>
  <c r="Y717" i="1" s="1"/>
  <c r="P717" i="1"/>
  <c r="O717" i="1"/>
  <c r="N717" i="1"/>
  <c r="T716" i="1"/>
  <c r="N716" i="1"/>
  <c r="T715" i="1"/>
  <c r="N715" i="1"/>
  <c r="T714" i="1"/>
  <c r="N714" i="1"/>
  <c r="T713" i="1"/>
  <c r="N713" i="1"/>
  <c r="T712" i="1"/>
  <c r="P712" i="1"/>
  <c r="O712" i="1"/>
  <c r="Q712" i="1" s="1"/>
  <c r="N712" i="1"/>
  <c r="T711" i="1"/>
  <c r="W711" i="1" s="1"/>
  <c r="N711" i="1"/>
  <c r="T710" i="1"/>
  <c r="N710" i="1"/>
  <c r="T709" i="1"/>
  <c r="N709" i="1"/>
  <c r="T708" i="1"/>
  <c r="N708" i="1"/>
  <c r="T707" i="1"/>
  <c r="Y707" i="1" s="1"/>
  <c r="N707" i="1"/>
  <c r="T706" i="1"/>
  <c r="P706" i="1"/>
  <c r="O706" i="1"/>
  <c r="Q706" i="1" s="1"/>
  <c r="N706" i="1"/>
  <c r="W706" i="1" s="1"/>
  <c r="T705" i="1"/>
  <c r="N705" i="1"/>
  <c r="T704" i="1"/>
  <c r="N704" i="1"/>
  <c r="T703" i="1"/>
  <c r="N703" i="1"/>
  <c r="T702" i="1"/>
  <c r="Y702" i="1" s="1"/>
  <c r="N702" i="1"/>
  <c r="T701" i="1"/>
  <c r="P701" i="1"/>
  <c r="O701" i="1"/>
  <c r="N701" i="1"/>
  <c r="T700" i="1"/>
  <c r="Y700" i="1" s="1"/>
  <c r="N700" i="1"/>
  <c r="T699" i="1"/>
  <c r="N699" i="1"/>
  <c r="T698" i="1"/>
  <c r="N698" i="1"/>
  <c r="T697" i="1"/>
  <c r="P697" i="1"/>
  <c r="O697" i="1" s="1"/>
  <c r="Q697" i="1" s="1"/>
  <c r="N697" i="1"/>
  <c r="T696" i="1"/>
  <c r="N696" i="1"/>
  <c r="T695" i="1"/>
  <c r="N695" i="1"/>
  <c r="T694" i="1"/>
  <c r="N694" i="1"/>
  <c r="T693" i="1"/>
  <c r="N693" i="1"/>
  <c r="T692" i="1"/>
  <c r="N692" i="1"/>
  <c r="T691" i="1"/>
  <c r="Y691" i="1" s="1"/>
  <c r="P691" i="1"/>
  <c r="O691" i="1"/>
  <c r="N691" i="1"/>
  <c r="T690" i="1"/>
  <c r="N690" i="1"/>
  <c r="T689" i="1"/>
  <c r="N689" i="1"/>
  <c r="T688" i="1"/>
  <c r="P688" i="1"/>
  <c r="O688" i="1"/>
  <c r="N688" i="1"/>
  <c r="T687" i="1"/>
  <c r="N687" i="1"/>
  <c r="T686" i="1"/>
  <c r="N686" i="1"/>
  <c r="T685" i="1"/>
  <c r="N685" i="1"/>
  <c r="T684" i="1"/>
  <c r="P684" i="1"/>
  <c r="O684" i="1" s="1"/>
  <c r="Q684" i="1" s="1"/>
  <c r="N684" i="1"/>
  <c r="T683" i="1"/>
  <c r="N683" i="1"/>
  <c r="Y683" i="1" s="1"/>
  <c r="T682" i="1"/>
  <c r="N682" i="1"/>
  <c r="T681" i="1"/>
  <c r="P681" i="1"/>
  <c r="O681" i="1" s="1"/>
  <c r="Q681" i="1" s="1"/>
  <c r="N681" i="1"/>
  <c r="T680" i="1"/>
  <c r="N680" i="1"/>
  <c r="T679" i="1"/>
  <c r="N679" i="1"/>
  <c r="T678" i="1"/>
  <c r="N678" i="1"/>
  <c r="T677" i="1"/>
  <c r="Y677" i="1" s="1"/>
  <c r="P677" i="1"/>
  <c r="O677" i="1" s="1"/>
  <c r="Q677" i="1" s="1"/>
  <c r="N677" i="1"/>
  <c r="T676" i="1"/>
  <c r="N676" i="1"/>
  <c r="T675" i="1"/>
  <c r="N675" i="1"/>
  <c r="T674" i="1"/>
  <c r="N674" i="1"/>
  <c r="T673" i="1"/>
  <c r="N673" i="1"/>
  <c r="T672" i="1"/>
  <c r="P672" i="1"/>
  <c r="O672" i="1"/>
  <c r="N672" i="1"/>
  <c r="T671" i="1"/>
  <c r="N671" i="1"/>
  <c r="T670" i="1"/>
  <c r="N670" i="1"/>
  <c r="T669" i="1"/>
  <c r="N669" i="1"/>
  <c r="W669" i="1" s="1"/>
  <c r="T668" i="1"/>
  <c r="N668" i="1"/>
  <c r="T667" i="1"/>
  <c r="Y667" i="1" s="1"/>
  <c r="P667" i="1"/>
  <c r="O667" i="1"/>
  <c r="N667" i="1"/>
  <c r="T666" i="1"/>
  <c r="N666" i="1"/>
  <c r="T665" i="1"/>
  <c r="N665" i="1"/>
  <c r="T664" i="1"/>
  <c r="N664" i="1"/>
  <c r="T663" i="1"/>
  <c r="N663" i="1"/>
  <c r="T662" i="1"/>
  <c r="P662" i="1"/>
  <c r="O662" i="1"/>
  <c r="N662" i="1"/>
  <c r="T661" i="1"/>
  <c r="N661" i="1"/>
  <c r="T660" i="1"/>
  <c r="N660" i="1"/>
  <c r="T659" i="1"/>
  <c r="P659" i="1"/>
  <c r="O659" i="1"/>
  <c r="Q659" i="1" s="1"/>
  <c r="N659" i="1"/>
  <c r="T658" i="1"/>
  <c r="N658" i="1"/>
  <c r="T657" i="1"/>
  <c r="N657" i="1"/>
  <c r="T656" i="1"/>
  <c r="P656" i="1"/>
  <c r="O656" i="1"/>
  <c r="N656" i="1"/>
  <c r="T655" i="1"/>
  <c r="N655" i="1"/>
  <c r="T654" i="1"/>
  <c r="W654" i="1" s="1"/>
  <c r="N654" i="1"/>
  <c r="T653" i="1"/>
  <c r="N653" i="1"/>
  <c r="T652" i="1"/>
  <c r="W652" i="1" s="1"/>
  <c r="N652" i="1"/>
  <c r="T651" i="1"/>
  <c r="N651" i="1"/>
  <c r="T650" i="1"/>
  <c r="P650" i="1"/>
  <c r="O650" i="1"/>
  <c r="N650" i="1"/>
  <c r="T649" i="1"/>
  <c r="N649" i="1"/>
  <c r="T648" i="1"/>
  <c r="N648" i="1"/>
  <c r="T647" i="1"/>
  <c r="N647" i="1"/>
  <c r="T646" i="1"/>
  <c r="N646" i="1"/>
  <c r="T645" i="1"/>
  <c r="P645" i="1"/>
  <c r="O645" i="1"/>
  <c r="N645" i="1"/>
  <c r="T644" i="1"/>
  <c r="N644" i="1"/>
  <c r="T643" i="1"/>
  <c r="N643" i="1"/>
  <c r="T642" i="1"/>
  <c r="P642" i="1"/>
  <c r="O642" i="1" s="1"/>
  <c r="Q642" i="1" s="1"/>
  <c r="N642" i="1"/>
  <c r="T641" i="1"/>
  <c r="N641" i="1"/>
  <c r="T640" i="1"/>
  <c r="N640" i="1"/>
  <c r="T639" i="1"/>
  <c r="N639" i="1"/>
  <c r="T638" i="1"/>
  <c r="N638" i="1"/>
  <c r="T637" i="1"/>
  <c r="P637" i="1"/>
  <c r="O637" i="1"/>
  <c r="N637" i="1"/>
  <c r="T636" i="1"/>
  <c r="Y636" i="1" s="1"/>
  <c r="N636" i="1"/>
  <c r="T635" i="1"/>
  <c r="N635" i="1"/>
  <c r="T634" i="1"/>
  <c r="N634" i="1"/>
  <c r="Y634" i="1" s="1"/>
  <c r="T633" i="1"/>
  <c r="Y633" i="1" s="1"/>
  <c r="N633" i="1"/>
  <c r="T632" i="1"/>
  <c r="Y632" i="1" s="1"/>
  <c r="N632" i="1"/>
  <c r="T631" i="1"/>
  <c r="N631" i="1"/>
  <c r="T630" i="1"/>
  <c r="P630" i="1"/>
  <c r="O630" i="1"/>
  <c r="N630" i="1"/>
  <c r="T629" i="1"/>
  <c r="N629" i="1"/>
  <c r="T628" i="1"/>
  <c r="N628" i="1"/>
  <c r="Y628" i="1" s="1"/>
  <c r="T627" i="1"/>
  <c r="N627" i="1"/>
  <c r="T626" i="1"/>
  <c r="N626" i="1"/>
  <c r="T625" i="1"/>
  <c r="P625" i="1"/>
  <c r="O625" i="1"/>
  <c r="N625" i="1"/>
  <c r="T624" i="1"/>
  <c r="N624" i="1"/>
  <c r="T623" i="1"/>
  <c r="N623" i="1"/>
  <c r="T622" i="1"/>
  <c r="N622" i="1"/>
  <c r="T621" i="1"/>
  <c r="P621" i="1"/>
  <c r="O621" i="1"/>
  <c r="N621" i="1"/>
  <c r="T620" i="1"/>
  <c r="Y620" i="1" s="1"/>
  <c r="N620" i="1"/>
  <c r="T619" i="1"/>
  <c r="N619" i="1"/>
  <c r="T618" i="1"/>
  <c r="N618" i="1"/>
  <c r="W618" i="1" s="1"/>
  <c r="T617" i="1"/>
  <c r="P617" i="1"/>
  <c r="O617" i="1"/>
  <c r="Q617" i="1" s="1"/>
  <c r="N617" i="1"/>
  <c r="T616" i="1"/>
  <c r="N616" i="1"/>
  <c r="T615" i="1"/>
  <c r="N615" i="1"/>
  <c r="T614" i="1"/>
  <c r="N614" i="1"/>
  <c r="T613" i="1"/>
  <c r="P613" i="1"/>
  <c r="O613" i="1"/>
  <c r="N613" i="1"/>
  <c r="T612" i="1"/>
  <c r="N612" i="1"/>
  <c r="T611" i="1"/>
  <c r="N611" i="1"/>
  <c r="T610" i="1"/>
  <c r="N610" i="1"/>
  <c r="T609" i="1"/>
  <c r="Y609" i="1" s="1"/>
  <c r="N609" i="1"/>
  <c r="T608" i="1"/>
  <c r="P608" i="1"/>
  <c r="O608" i="1"/>
  <c r="N608" i="1"/>
  <c r="T607" i="1"/>
  <c r="N607" i="1"/>
  <c r="T606" i="1"/>
  <c r="N606" i="1"/>
  <c r="T605" i="1"/>
  <c r="N605" i="1"/>
  <c r="T604" i="1"/>
  <c r="N604" i="1"/>
  <c r="T603" i="1"/>
  <c r="P603" i="1"/>
  <c r="O603" i="1"/>
  <c r="N603" i="1"/>
  <c r="T602" i="1"/>
  <c r="N602" i="1"/>
  <c r="T601" i="1"/>
  <c r="N601" i="1"/>
  <c r="T600" i="1"/>
  <c r="N600" i="1"/>
  <c r="T599" i="1"/>
  <c r="N599" i="1"/>
  <c r="T598" i="1"/>
  <c r="N598" i="1"/>
  <c r="T597" i="1"/>
  <c r="P597" i="1"/>
  <c r="O597" i="1"/>
  <c r="N597" i="1"/>
  <c r="T596" i="1"/>
  <c r="W596" i="1" s="1"/>
  <c r="N596" i="1"/>
  <c r="T595" i="1"/>
  <c r="N595" i="1"/>
  <c r="T594" i="1"/>
  <c r="N594" i="1"/>
  <c r="T593" i="1"/>
  <c r="N593" i="1"/>
  <c r="T592" i="1"/>
  <c r="N592" i="1"/>
  <c r="Y592" i="1" s="1"/>
  <c r="T591" i="1"/>
  <c r="P591" i="1"/>
  <c r="O591" i="1"/>
  <c r="N591" i="1"/>
  <c r="T590" i="1"/>
  <c r="N590" i="1"/>
  <c r="T589" i="1"/>
  <c r="N589" i="1"/>
  <c r="T588" i="1"/>
  <c r="N588" i="1"/>
  <c r="T587" i="1"/>
  <c r="N587" i="1"/>
  <c r="T586" i="1"/>
  <c r="N586" i="1"/>
  <c r="T585" i="1"/>
  <c r="N585" i="1"/>
  <c r="T584" i="1"/>
  <c r="N584" i="1"/>
  <c r="Y584" i="1" s="1"/>
  <c r="T583" i="1"/>
  <c r="P583" i="1"/>
  <c r="O583" i="1"/>
  <c r="N583" i="1"/>
  <c r="T582" i="1"/>
  <c r="N582" i="1"/>
  <c r="W582" i="1" s="1"/>
  <c r="T581" i="1"/>
  <c r="N581" i="1"/>
  <c r="T580" i="1"/>
  <c r="N580" i="1"/>
  <c r="W580" i="1" s="1"/>
  <c r="T579" i="1"/>
  <c r="P579" i="1"/>
  <c r="O579" i="1"/>
  <c r="N579" i="1"/>
  <c r="T578" i="1"/>
  <c r="N578" i="1"/>
  <c r="T577" i="1"/>
  <c r="N577" i="1"/>
  <c r="T576" i="1"/>
  <c r="W576" i="1" s="1"/>
  <c r="N576" i="1"/>
  <c r="T575" i="1"/>
  <c r="N575" i="1"/>
  <c r="T574" i="1"/>
  <c r="W574" i="1" s="1"/>
  <c r="N574" i="1"/>
  <c r="T573" i="1"/>
  <c r="N573" i="1"/>
  <c r="T572" i="1"/>
  <c r="P572" i="1"/>
  <c r="O572" i="1"/>
  <c r="N572" i="1"/>
  <c r="Y572" i="1" s="1"/>
  <c r="T571" i="1"/>
  <c r="N571" i="1"/>
  <c r="T570" i="1"/>
  <c r="N570" i="1"/>
  <c r="T569" i="1"/>
  <c r="N569" i="1"/>
  <c r="T568" i="1"/>
  <c r="N568" i="1"/>
  <c r="T567" i="1"/>
  <c r="N567" i="1"/>
  <c r="T566" i="1"/>
  <c r="N566" i="1"/>
  <c r="W566" i="1" s="1"/>
  <c r="T565" i="1"/>
  <c r="N565" i="1"/>
  <c r="Y565" i="1" s="1"/>
  <c r="T564" i="1"/>
  <c r="N564" i="1"/>
  <c r="T563" i="1"/>
  <c r="P563" i="1"/>
  <c r="Q563" i="1" s="1"/>
  <c r="O563" i="1"/>
  <c r="N563" i="1"/>
  <c r="T562" i="1"/>
  <c r="N562" i="1"/>
  <c r="T561" i="1"/>
  <c r="Y561" i="1" s="1"/>
  <c r="N561" i="1"/>
  <c r="T560" i="1"/>
  <c r="N560" i="1"/>
  <c r="T559" i="1"/>
  <c r="N559" i="1"/>
  <c r="T558" i="1"/>
  <c r="N558" i="1"/>
  <c r="T557" i="1"/>
  <c r="N557" i="1"/>
  <c r="Y557" i="1" s="1"/>
  <c r="T556" i="1"/>
  <c r="P556" i="1"/>
  <c r="O556" i="1"/>
  <c r="N556" i="1"/>
  <c r="T555" i="1"/>
  <c r="N555" i="1"/>
  <c r="W555" i="1" s="1"/>
  <c r="T554" i="1"/>
  <c r="N554" i="1"/>
  <c r="T553" i="1"/>
  <c r="Y553" i="1" s="1"/>
  <c r="N553" i="1"/>
  <c r="T552" i="1"/>
  <c r="P552" i="1"/>
  <c r="O552" i="1"/>
  <c r="N552" i="1"/>
  <c r="T551" i="1"/>
  <c r="N551" i="1"/>
  <c r="T550" i="1"/>
  <c r="Y550" i="1" s="1"/>
  <c r="N550" i="1"/>
  <c r="T549" i="1"/>
  <c r="N549" i="1"/>
  <c r="T548" i="1"/>
  <c r="N548" i="1"/>
  <c r="T547" i="1"/>
  <c r="N547" i="1"/>
  <c r="T546" i="1"/>
  <c r="N546" i="1"/>
  <c r="T545" i="1"/>
  <c r="P545" i="1"/>
  <c r="O545" i="1"/>
  <c r="N545" i="1"/>
  <c r="T544" i="1"/>
  <c r="N544" i="1"/>
  <c r="T543" i="1"/>
  <c r="N543" i="1"/>
  <c r="T542" i="1"/>
  <c r="Y542" i="1" s="1"/>
  <c r="N542" i="1"/>
  <c r="T541" i="1"/>
  <c r="N541" i="1"/>
  <c r="T540" i="1"/>
  <c r="N540" i="1"/>
  <c r="Y540" i="1" s="1"/>
  <c r="T539" i="1"/>
  <c r="Y539" i="1" s="1"/>
  <c r="P539" i="1"/>
  <c r="O539" i="1"/>
  <c r="N539" i="1"/>
  <c r="T538" i="1"/>
  <c r="N538" i="1"/>
  <c r="T537" i="1"/>
  <c r="N537" i="1"/>
  <c r="T536" i="1"/>
  <c r="N536" i="1"/>
  <c r="T535" i="1"/>
  <c r="N535" i="1"/>
  <c r="T534" i="1"/>
  <c r="P534" i="1"/>
  <c r="O534" i="1"/>
  <c r="N534" i="1"/>
  <c r="T533" i="1"/>
  <c r="N533" i="1"/>
  <c r="T532" i="1"/>
  <c r="N532" i="1"/>
  <c r="T531" i="1"/>
  <c r="W531" i="1" s="1"/>
  <c r="N531" i="1"/>
  <c r="T530" i="1"/>
  <c r="N530" i="1"/>
  <c r="T529" i="1"/>
  <c r="N529" i="1"/>
  <c r="T528" i="1"/>
  <c r="N528" i="1"/>
  <c r="T527" i="1"/>
  <c r="Y527" i="1" s="1"/>
  <c r="P527" i="1"/>
  <c r="Q527" i="1" s="1"/>
  <c r="O527" i="1"/>
  <c r="N527" i="1"/>
  <c r="T526" i="1"/>
  <c r="N526" i="1"/>
  <c r="T525" i="1"/>
  <c r="N525" i="1"/>
  <c r="T524" i="1"/>
  <c r="Y524" i="1" s="1"/>
  <c r="N524" i="1"/>
  <c r="T523" i="1"/>
  <c r="Y523" i="1" s="1"/>
  <c r="N523" i="1"/>
  <c r="T522" i="1"/>
  <c r="N522" i="1"/>
  <c r="T521" i="1"/>
  <c r="N521" i="1"/>
  <c r="T520" i="1"/>
  <c r="Y520" i="1" s="1"/>
  <c r="Q520" i="1"/>
  <c r="P520" i="1"/>
  <c r="O520" i="1" s="1"/>
  <c r="N520" i="1"/>
  <c r="T519" i="1"/>
  <c r="N519" i="1"/>
  <c r="T518" i="1"/>
  <c r="N518" i="1"/>
  <c r="T517" i="1"/>
  <c r="N517" i="1"/>
  <c r="T516" i="1"/>
  <c r="N516" i="1"/>
  <c r="Y516" i="1" s="1"/>
  <c r="T515" i="1"/>
  <c r="N515" i="1"/>
  <c r="T514" i="1"/>
  <c r="N514" i="1"/>
  <c r="T513" i="1"/>
  <c r="Y513" i="1" s="1"/>
  <c r="N513" i="1"/>
  <c r="T512" i="1"/>
  <c r="P512" i="1"/>
  <c r="O512" i="1" s="1"/>
  <c r="Q512" i="1" s="1"/>
  <c r="N512" i="1"/>
  <c r="T511" i="1"/>
  <c r="N511" i="1"/>
  <c r="T510" i="1"/>
  <c r="W510" i="1" s="1"/>
  <c r="N510" i="1"/>
  <c r="T509" i="1"/>
  <c r="N509" i="1"/>
  <c r="T508" i="1"/>
  <c r="N508" i="1"/>
  <c r="T507" i="1"/>
  <c r="N507" i="1"/>
  <c r="T506" i="1"/>
  <c r="N506" i="1"/>
  <c r="T505" i="1"/>
  <c r="N505" i="1"/>
  <c r="T504" i="1"/>
  <c r="W504" i="1" s="1"/>
  <c r="P504" i="1"/>
  <c r="O504" i="1" s="1"/>
  <c r="Q504" i="1" s="1"/>
  <c r="N504" i="1"/>
  <c r="T503" i="1"/>
  <c r="W503" i="1" s="1"/>
  <c r="N503" i="1"/>
  <c r="T502" i="1"/>
  <c r="N502" i="1"/>
  <c r="T501" i="1"/>
  <c r="N501" i="1"/>
  <c r="W501" i="1" s="1"/>
  <c r="T500" i="1"/>
  <c r="N500" i="1"/>
  <c r="T499" i="1"/>
  <c r="N499" i="1"/>
  <c r="T498" i="1"/>
  <c r="Q498" i="1"/>
  <c r="N498" i="1"/>
  <c r="T497" i="1"/>
  <c r="N497" i="1"/>
  <c r="T496" i="1"/>
  <c r="N496" i="1"/>
  <c r="T495" i="1"/>
  <c r="N495" i="1"/>
  <c r="Y495" i="1" s="1"/>
  <c r="T494" i="1"/>
  <c r="N494" i="1"/>
  <c r="T493" i="1"/>
  <c r="N493" i="1"/>
  <c r="T492" i="1"/>
  <c r="P492" i="1"/>
  <c r="O492" i="1"/>
  <c r="N492" i="1"/>
  <c r="T491" i="1"/>
  <c r="N491" i="1"/>
  <c r="T490" i="1"/>
  <c r="N490" i="1"/>
  <c r="T489" i="1"/>
  <c r="N489" i="1"/>
  <c r="W489" i="1" s="1"/>
  <c r="T488" i="1"/>
  <c r="N488" i="1"/>
  <c r="T487" i="1"/>
  <c r="N487" i="1"/>
  <c r="T486" i="1"/>
  <c r="N486" i="1"/>
  <c r="T485" i="1"/>
  <c r="P485" i="1"/>
  <c r="O485" i="1"/>
  <c r="N485" i="1"/>
  <c r="T484" i="1"/>
  <c r="N484" i="1"/>
  <c r="T483" i="1"/>
  <c r="N483" i="1"/>
  <c r="T482" i="1"/>
  <c r="P482" i="1"/>
  <c r="O482" i="1" s="1"/>
  <c r="Q482" i="1" s="1"/>
  <c r="N482" i="1"/>
  <c r="T481" i="1"/>
  <c r="Y481" i="1" s="1"/>
  <c r="N481" i="1"/>
  <c r="T480" i="1"/>
  <c r="N480" i="1"/>
  <c r="T479" i="1"/>
  <c r="Y479" i="1" s="1"/>
  <c r="N479" i="1"/>
  <c r="T478" i="1"/>
  <c r="N478" i="1"/>
  <c r="T477" i="1"/>
  <c r="P477" i="1"/>
  <c r="O477" i="1"/>
  <c r="N477" i="1"/>
  <c r="T476" i="1"/>
  <c r="N476" i="1"/>
  <c r="T475" i="1"/>
  <c r="N475" i="1"/>
  <c r="T474" i="1"/>
  <c r="N474" i="1"/>
  <c r="Y474" i="1" s="1"/>
  <c r="T473" i="1"/>
  <c r="W473" i="1" s="1"/>
  <c r="N473" i="1"/>
  <c r="T472" i="1"/>
  <c r="P472" i="1"/>
  <c r="O472" i="1"/>
  <c r="N472" i="1"/>
  <c r="T471" i="1"/>
  <c r="N471" i="1"/>
  <c r="T470" i="1"/>
  <c r="N470" i="1"/>
  <c r="T469" i="1"/>
  <c r="N469" i="1"/>
  <c r="T468" i="1"/>
  <c r="N468" i="1"/>
  <c r="T467" i="1"/>
  <c r="P467" i="1"/>
  <c r="O467" i="1"/>
  <c r="N467" i="1"/>
  <c r="T466" i="1"/>
  <c r="N466" i="1"/>
  <c r="T465" i="1"/>
  <c r="N465" i="1"/>
  <c r="T464" i="1"/>
  <c r="N464" i="1"/>
  <c r="T463" i="1"/>
  <c r="P463" i="1"/>
  <c r="O463" i="1"/>
  <c r="N463" i="1"/>
  <c r="T462" i="1"/>
  <c r="N462" i="1"/>
  <c r="T461" i="1"/>
  <c r="N461" i="1"/>
  <c r="T460" i="1"/>
  <c r="P460" i="1"/>
  <c r="O460" i="1"/>
  <c r="Q460" i="1" s="1"/>
  <c r="N460" i="1"/>
  <c r="T459" i="1"/>
  <c r="N459" i="1"/>
  <c r="T458" i="1"/>
  <c r="Y458" i="1" s="1"/>
  <c r="N458" i="1"/>
  <c r="T457" i="1"/>
  <c r="N457" i="1"/>
  <c r="T456" i="1"/>
  <c r="P456" i="1"/>
  <c r="O456" i="1"/>
  <c r="N456" i="1"/>
  <c r="T455" i="1"/>
  <c r="N455" i="1"/>
  <c r="T454" i="1"/>
  <c r="N454" i="1"/>
  <c r="T453" i="1"/>
  <c r="N453" i="1"/>
  <c r="T452" i="1"/>
  <c r="N452" i="1"/>
  <c r="T451" i="1"/>
  <c r="P451" i="1"/>
  <c r="Q451" i="1" s="1"/>
  <c r="O451" i="1"/>
  <c r="N451" i="1"/>
  <c r="T450" i="1"/>
  <c r="N450" i="1"/>
  <c r="T449" i="1"/>
  <c r="N449" i="1"/>
  <c r="T448" i="1"/>
  <c r="P448" i="1"/>
  <c r="Q448" i="1" s="1"/>
  <c r="O448" i="1"/>
  <c r="N448" i="1"/>
  <c r="T447" i="1"/>
  <c r="N447" i="1"/>
  <c r="T446" i="1"/>
  <c r="N446" i="1"/>
  <c r="T445" i="1"/>
  <c r="P445" i="1"/>
  <c r="O445" i="1"/>
  <c r="Q445" i="1" s="1"/>
  <c r="N445" i="1"/>
  <c r="T444" i="1"/>
  <c r="N444" i="1"/>
  <c r="T443" i="1"/>
  <c r="N443" i="1"/>
  <c r="T442" i="1"/>
  <c r="W442" i="1" s="1"/>
  <c r="N442" i="1"/>
  <c r="T441" i="1"/>
  <c r="N441" i="1"/>
  <c r="T440" i="1"/>
  <c r="P440" i="1"/>
  <c r="O440" i="1"/>
  <c r="N440" i="1"/>
  <c r="T439" i="1"/>
  <c r="N439" i="1"/>
  <c r="T438" i="1"/>
  <c r="N438" i="1"/>
  <c r="T437" i="1"/>
  <c r="P437" i="1"/>
  <c r="O437" i="1"/>
  <c r="N437" i="1"/>
  <c r="T436" i="1"/>
  <c r="N436" i="1"/>
  <c r="T435" i="1"/>
  <c r="P435" i="1"/>
  <c r="O435" i="1"/>
  <c r="N435" i="1"/>
  <c r="T434" i="1"/>
  <c r="N434" i="1"/>
  <c r="T433" i="1"/>
  <c r="W433" i="1" s="1"/>
  <c r="P433" i="1"/>
  <c r="O433" i="1"/>
  <c r="N433" i="1"/>
  <c r="T432" i="1"/>
  <c r="N432" i="1"/>
  <c r="T431" i="1"/>
  <c r="P431" i="1"/>
  <c r="O431" i="1"/>
  <c r="N431" i="1"/>
  <c r="T430" i="1"/>
  <c r="N430" i="1"/>
  <c r="T429" i="1"/>
  <c r="P429" i="1"/>
  <c r="O429" i="1"/>
  <c r="N429" i="1"/>
  <c r="T428" i="1"/>
  <c r="N428" i="1"/>
  <c r="T427" i="1"/>
  <c r="P427" i="1"/>
  <c r="O427" i="1"/>
  <c r="N427" i="1"/>
  <c r="T426" i="1"/>
  <c r="N426" i="1"/>
  <c r="T425" i="1"/>
  <c r="N425" i="1"/>
  <c r="T424" i="1"/>
  <c r="N424" i="1"/>
  <c r="T423" i="1"/>
  <c r="N423" i="1"/>
  <c r="T422" i="1"/>
  <c r="N422" i="1"/>
  <c r="T421" i="1"/>
  <c r="P421" i="1"/>
  <c r="O421" i="1"/>
  <c r="N421" i="1"/>
  <c r="T420" i="1"/>
  <c r="N420" i="1"/>
  <c r="Y420" i="1" s="1"/>
  <c r="T419" i="1"/>
  <c r="N419" i="1"/>
  <c r="T418" i="1"/>
  <c r="N418" i="1"/>
  <c r="T417" i="1"/>
  <c r="N417" i="1"/>
  <c r="T416" i="1"/>
  <c r="N416" i="1"/>
  <c r="T415" i="1"/>
  <c r="P415" i="1"/>
  <c r="O415" i="1"/>
  <c r="N415" i="1"/>
  <c r="T414" i="1"/>
  <c r="N414" i="1"/>
  <c r="T413" i="1"/>
  <c r="N413" i="1"/>
  <c r="T412" i="1"/>
  <c r="N412" i="1"/>
  <c r="T411" i="1"/>
  <c r="N411" i="1"/>
  <c r="T410" i="1"/>
  <c r="N410" i="1"/>
  <c r="T409" i="1"/>
  <c r="P409" i="1"/>
  <c r="O409" i="1"/>
  <c r="Q409" i="1" s="1"/>
  <c r="N409" i="1"/>
  <c r="T408" i="1"/>
  <c r="N408" i="1"/>
  <c r="T407" i="1"/>
  <c r="N407" i="1"/>
  <c r="T406" i="1"/>
  <c r="N406" i="1"/>
  <c r="T405" i="1"/>
  <c r="N405" i="1"/>
  <c r="T404" i="1"/>
  <c r="N404" i="1"/>
  <c r="T403" i="1"/>
  <c r="N403" i="1"/>
  <c r="T402" i="1"/>
  <c r="P402" i="1"/>
  <c r="O402" i="1"/>
  <c r="N402" i="1"/>
  <c r="T401" i="1"/>
  <c r="N401" i="1"/>
  <c r="T400" i="1"/>
  <c r="N400" i="1"/>
  <c r="T399" i="1"/>
  <c r="N399" i="1"/>
  <c r="T398" i="1"/>
  <c r="N398" i="1"/>
  <c r="T397" i="1"/>
  <c r="N397" i="1"/>
  <c r="T396" i="1"/>
  <c r="P396" i="1"/>
  <c r="Q396" i="1" s="1"/>
  <c r="O396" i="1"/>
  <c r="N396" i="1"/>
  <c r="T395" i="1"/>
  <c r="N395" i="1"/>
  <c r="T394" i="1"/>
  <c r="N394" i="1"/>
  <c r="Y394" i="1" s="1"/>
  <c r="T393" i="1"/>
  <c r="N393" i="1"/>
  <c r="T392" i="1"/>
  <c r="P392" i="1"/>
  <c r="O392" i="1"/>
  <c r="N392" i="1"/>
  <c r="T391" i="1"/>
  <c r="N391" i="1"/>
  <c r="T390" i="1"/>
  <c r="N390" i="1"/>
  <c r="T389" i="1"/>
  <c r="N389" i="1"/>
  <c r="T388" i="1"/>
  <c r="N388" i="1"/>
  <c r="T387" i="1"/>
  <c r="W387" i="1" s="1"/>
  <c r="N387" i="1"/>
  <c r="T386" i="1"/>
  <c r="P386" i="1"/>
  <c r="O386" i="1"/>
  <c r="N386" i="1"/>
  <c r="T385" i="1"/>
  <c r="N385" i="1"/>
  <c r="T384" i="1"/>
  <c r="N384" i="1"/>
  <c r="T383" i="1"/>
  <c r="N383" i="1"/>
  <c r="T382" i="1"/>
  <c r="N382" i="1"/>
  <c r="T381" i="1"/>
  <c r="N381" i="1"/>
  <c r="W381" i="1" s="1"/>
  <c r="T380" i="1"/>
  <c r="P380" i="1"/>
  <c r="O380" i="1"/>
  <c r="N380" i="1"/>
  <c r="T379" i="1"/>
  <c r="N379" i="1"/>
  <c r="T378" i="1"/>
  <c r="N378" i="1"/>
  <c r="T377" i="1"/>
  <c r="P377" i="1"/>
  <c r="O377" i="1"/>
  <c r="N377" i="1"/>
  <c r="T376" i="1"/>
  <c r="N376" i="1"/>
  <c r="T375" i="1"/>
  <c r="N375" i="1"/>
  <c r="T374" i="1"/>
  <c r="N374" i="1"/>
  <c r="T373" i="1"/>
  <c r="N373" i="1"/>
  <c r="Y373" i="1" s="1"/>
  <c r="T372" i="1"/>
  <c r="N372" i="1"/>
  <c r="T371" i="1"/>
  <c r="Y371" i="1" s="1"/>
  <c r="P371" i="1"/>
  <c r="O371" i="1"/>
  <c r="N371" i="1"/>
  <c r="T370" i="1"/>
  <c r="N370" i="1"/>
  <c r="T369" i="1"/>
  <c r="N369" i="1"/>
  <c r="T368" i="1"/>
  <c r="N368" i="1"/>
  <c r="T367" i="1"/>
  <c r="N367" i="1"/>
  <c r="T366" i="1"/>
  <c r="P366" i="1"/>
  <c r="O366" i="1"/>
  <c r="N366" i="1"/>
  <c r="T365" i="1"/>
  <c r="N365" i="1"/>
  <c r="T364" i="1"/>
  <c r="N364" i="1"/>
  <c r="T363" i="1"/>
  <c r="N363" i="1"/>
  <c r="T362" i="1"/>
  <c r="N362" i="1"/>
  <c r="W362" i="1" s="1"/>
  <c r="T361" i="1"/>
  <c r="N361" i="1"/>
  <c r="T360" i="1"/>
  <c r="P360" i="1"/>
  <c r="Q360" i="1" s="1"/>
  <c r="O360" i="1"/>
  <c r="N360" i="1"/>
  <c r="T359" i="1"/>
  <c r="N359" i="1"/>
  <c r="T358" i="1"/>
  <c r="N358" i="1"/>
  <c r="T357" i="1"/>
  <c r="N357" i="1"/>
  <c r="T356" i="1"/>
  <c r="N356" i="1"/>
  <c r="T355" i="1"/>
  <c r="W355" i="1" s="1"/>
  <c r="N355" i="1"/>
  <c r="T354" i="1"/>
  <c r="W354" i="1" s="1"/>
  <c r="N354" i="1"/>
  <c r="T353" i="1"/>
  <c r="N353" i="1"/>
  <c r="T352" i="1"/>
  <c r="P352" i="1"/>
  <c r="O352" i="1"/>
  <c r="N352" i="1"/>
  <c r="T351" i="1"/>
  <c r="N351" i="1"/>
  <c r="T350" i="1"/>
  <c r="N350" i="1"/>
  <c r="T349" i="1"/>
  <c r="N349" i="1"/>
  <c r="T348" i="1"/>
  <c r="N348" i="1"/>
  <c r="T347" i="1"/>
  <c r="N347" i="1"/>
  <c r="T346" i="1"/>
  <c r="N346" i="1"/>
  <c r="T345" i="1"/>
  <c r="N345" i="1"/>
  <c r="T344" i="1"/>
  <c r="W344" i="1" s="1"/>
  <c r="P344" i="1"/>
  <c r="O344" i="1"/>
  <c r="N344" i="1"/>
  <c r="T343" i="1"/>
  <c r="N343" i="1"/>
  <c r="T342" i="1"/>
  <c r="N342" i="1"/>
  <c r="T341" i="1"/>
  <c r="N341" i="1"/>
  <c r="T340" i="1"/>
  <c r="N340" i="1"/>
  <c r="T339" i="1"/>
  <c r="N339" i="1"/>
  <c r="T338" i="1"/>
  <c r="P338" i="1"/>
  <c r="O338" i="1"/>
  <c r="N338" i="1"/>
  <c r="T337" i="1"/>
  <c r="N337" i="1"/>
  <c r="T336" i="1"/>
  <c r="N336" i="1"/>
  <c r="T335" i="1"/>
  <c r="N335" i="1"/>
  <c r="T334" i="1"/>
  <c r="N334" i="1"/>
  <c r="T333" i="1"/>
  <c r="N333" i="1"/>
  <c r="T332" i="1"/>
  <c r="N332" i="1"/>
  <c r="T331" i="1"/>
  <c r="P331" i="1"/>
  <c r="O331" i="1"/>
  <c r="N331" i="1"/>
  <c r="T330" i="1"/>
  <c r="N330" i="1"/>
  <c r="T329" i="1"/>
  <c r="N329" i="1"/>
  <c r="W329" i="1" s="1"/>
  <c r="T328" i="1"/>
  <c r="N328" i="1"/>
  <c r="T327" i="1"/>
  <c r="N327" i="1"/>
  <c r="Y327" i="1" s="1"/>
  <c r="T326" i="1"/>
  <c r="P326" i="1"/>
  <c r="Q326" i="1" s="1"/>
  <c r="O326" i="1"/>
  <c r="N326" i="1"/>
  <c r="T325" i="1"/>
  <c r="N325" i="1"/>
  <c r="T324" i="1"/>
  <c r="N324" i="1"/>
  <c r="T323" i="1"/>
  <c r="N323" i="1"/>
  <c r="T322" i="1"/>
  <c r="N322" i="1"/>
  <c r="T321" i="1"/>
  <c r="N321" i="1"/>
  <c r="T320" i="1"/>
  <c r="P320" i="1"/>
  <c r="O320" i="1"/>
  <c r="N320" i="1"/>
  <c r="T319" i="1"/>
  <c r="N319" i="1"/>
  <c r="T318" i="1"/>
  <c r="N318" i="1"/>
  <c r="T317" i="1"/>
  <c r="N317" i="1"/>
  <c r="T316" i="1"/>
  <c r="N316" i="1"/>
  <c r="T315" i="1"/>
  <c r="P315" i="1"/>
  <c r="O315" i="1"/>
  <c r="N315" i="1"/>
  <c r="T314" i="1"/>
  <c r="N314" i="1"/>
  <c r="W314" i="1" s="1"/>
  <c r="T313" i="1"/>
  <c r="N313" i="1"/>
  <c r="T312" i="1"/>
  <c r="N312" i="1"/>
  <c r="Y312" i="1" s="1"/>
  <c r="T311" i="1"/>
  <c r="N311" i="1"/>
  <c r="T310" i="1"/>
  <c r="N310" i="1"/>
  <c r="W310" i="1" s="1"/>
  <c r="T309" i="1"/>
  <c r="P309" i="1"/>
  <c r="O309" i="1"/>
  <c r="N309" i="1"/>
  <c r="T308" i="1"/>
  <c r="N308" i="1"/>
  <c r="Y308" i="1" s="1"/>
  <c r="T307" i="1"/>
  <c r="N307" i="1"/>
  <c r="Y307" i="1" s="1"/>
  <c r="T306" i="1"/>
  <c r="N306" i="1"/>
  <c r="Y306" i="1" s="1"/>
  <c r="T305" i="1"/>
  <c r="P305" i="1"/>
  <c r="O305" i="1" s="1"/>
  <c r="Q305" i="1" s="1"/>
  <c r="N305" i="1"/>
  <c r="T304" i="1"/>
  <c r="N304" i="1"/>
  <c r="T303" i="1"/>
  <c r="N303" i="1"/>
  <c r="T302" i="1"/>
  <c r="W302" i="1" s="1"/>
  <c r="N302" i="1"/>
  <c r="T301" i="1"/>
  <c r="N301" i="1"/>
  <c r="T300" i="1"/>
  <c r="N300" i="1"/>
  <c r="T299" i="1"/>
  <c r="P299" i="1"/>
  <c r="O299" i="1"/>
  <c r="N299" i="1"/>
  <c r="T298" i="1"/>
  <c r="N298" i="1"/>
  <c r="T297" i="1"/>
  <c r="N297" i="1"/>
  <c r="T296" i="1"/>
  <c r="N296" i="1"/>
  <c r="T295" i="1"/>
  <c r="P295" i="1"/>
  <c r="O295" i="1"/>
  <c r="N295" i="1"/>
  <c r="T294" i="1"/>
  <c r="N294" i="1"/>
  <c r="T293" i="1"/>
  <c r="Y293" i="1" s="1"/>
  <c r="N293" i="1"/>
  <c r="T292" i="1"/>
  <c r="N292" i="1"/>
  <c r="T291" i="1"/>
  <c r="N291" i="1"/>
  <c r="Y291" i="1" s="1"/>
  <c r="T290" i="1"/>
  <c r="P290" i="1"/>
  <c r="O290" i="1"/>
  <c r="N290" i="1"/>
  <c r="T289" i="1"/>
  <c r="N289" i="1"/>
  <c r="T288" i="1"/>
  <c r="N288" i="1"/>
  <c r="T287" i="1"/>
  <c r="N287" i="1"/>
  <c r="T286" i="1"/>
  <c r="N286" i="1"/>
  <c r="T285" i="1"/>
  <c r="N285" i="1"/>
  <c r="T284" i="1"/>
  <c r="N284" i="1"/>
  <c r="T283" i="1"/>
  <c r="N283" i="1"/>
  <c r="T282" i="1"/>
  <c r="Y282" i="1" s="1"/>
  <c r="P282" i="1"/>
  <c r="O282" i="1"/>
  <c r="N282" i="1"/>
  <c r="T281" i="1"/>
  <c r="N281" i="1"/>
  <c r="T280" i="1"/>
  <c r="Y280" i="1" s="1"/>
  <c r="N280" i="1"/>
  <c r="T279" i="1"/>
  <c r="N279" i="1"/>
  <c r="T278" i="1"/>
  <c r="N278" i="1"/>
  <c r="T277" i="1"/>
  <c r="N277" i="1"/>
  <c r="W276" i="1"/>
  <c r="T276" i="1"/>
  <c r="P276" i="1"/>
  <c r="Q276" i="1" s="1"/>
  <c r="O276" i="1"/>
  <c r="N276" i="1"/>
  <c r="T275" i="1"/>
  <c r="N275" i="1"/>
  <c r="T274" i="1"/>
  <c r="N274" i="1"/>
  <c r="T273" i="1"/>
  <c r="N273" i="1"/>
  <c r="T272" i="1"/>
  <c r="P272" i="1"/>
  <c r="O272" i="1"/>
  <c r="Q272" i="1" s="1"/>
  <c r="N272" i="1"/>
  <c r="T271" i="1"/>
  <c r="N271" i="1"/>
  <c r="T270" i="1"/>
  <c r="N270" i="1"/>
  <c r="T269" i="1"/>
  <c r="N269" i="1"/>
  <c r="T268" i="1"/>
  <c r="P268" i="1"/>
  <c r="O268" i="1"/>
  <c r="N268" i="1"/>
  <c r="T267" i="1"/>
  <c r="N267" i="1"/>
  <c r="T266" i="1"/>
  <c r="N266" i="1"/>
  <c r="T265" i="1"/>
  <c r="N265" i="1"/>
  <c r="T264" i="1"/>
  <c r="N264" i="1"/>
  <c r="T263" i="1"/>
  <c r="N263" i="1"/>
  <c r="T262" i="1"/>
  <c r="W262" i="1" s="1"/>
  <c r="N262" i="1"/>
  <c r="T261" i="1"/>
  <c r="P261" i="1"/>
  <c r="O261" i="1"/>
  <c r="N261" i="1"/>
  <c r="T260" i="1"/>
  <c r="N260" i="1"/>
  <c r="T259" i="1"/>
  <c r="N259" i="1"/>
  <c r="T258" i="1"/>
  <c r="N258" i="1"/>
  <c r="T257" i="1"/>
  <c r="N257" i="1"/>
  <c r="T256" i="1"/>
  <c r="N256" i="1"/>
  <c r="T255" i="1"/>
  <c r="P255" i="1"/>
  <c r="O255" i="1"/>
  <c r="N255" i="1"/>
  <c r="W255" i="1" s="1"/>
  <c r="T254" i="1"/>
  <c r="N254" i="1"/>
  <c r="T253" i="1"/>
  <c r="N253" i="1"/>
  <c r="T252" i="1"/>
  <c r="N252" i="1"/>
  <c r="T251" i="1"/>
  <c r="N251" i="1"/>
  <c r="T250" i="1"/>
  <c r="N250" i="1"/>
  <c r="T249" i="1"/>
  <c r="P249" i="1"/>
  <c r="O249" i="1"/>
  <c r="N249" i="1"/>
  <c r="T248" i="1"/>
  <c r="N248" i="1"/>
  <c r="T247" i="1"/>
  <c r="N247" i="1"/>
  <c r="T246" i="1"/>
  <c r="N246" i="1"/>
  <c r="T245" i="1"/>
  <c r="P245" i="1"/>
  <c r="O245" i="1"/>
  <c r="N245" i="1"/>
  <c r="T244" i="1"/>
  <c r="N244" i="1"/>
  <c r="T243" i="1"/>
  <c r="N243" i="1"/>
  <c r="T242" i="1"/>
  <c r="N242" i="1"/>
  <c r="T241" i="1"/>
  <c r="N241" i="1"/>
  <c r="T240" i="1"/>
  <c r="N240" i="1"/>
  <c r="T239" i="1"/>
  <c r="P239" i="1"/>
  <c r="O239" i="1"/>
  <c r="N239" i="1"/>
  <c r="T238" i="1"/>
  <c r="N238" i="1"/>
  <c r="T237" i="1"/>
  <c r="N237" i="1"/>
  <c r="W237" i="1" s="1"/>
  <c r="T236" i="1"/>
  <c r="N236" i="1"/>
  <c r="T235" i="1"/>
  <c r="N235" i="1"/>
  <c r="T234" i="1"/>
  <c r="N234" i="1"/>
  <c r="T233" i="1"/>
  <c r="N233" i="1"/>
  <c r="T232" i="1"/>
  <c r="N232" i="1"/>
  <c r="T231" i="1"/>
  <c r="N231" i="1"/>
  <c r="T230" i="1"/>
  <c r="W230" i="1" s="1"/>
  <c r="P230" i="1"/>
  <c r="O230" i="1" s="1"/>
  <c r="Q230" i="1" s="1"/>
  <c r="N230" i="1"/>
  <c r="T229" i="1"/>
  <c r="N229" i="1"/>
  <c r="W229" i="1" s="1"/>
  <c r="T228" i="1"/>
  <c r="N228" i="1"/>
  <c r="T227" i="1"/>
  <c r="N227" i="1"/>
  <c r="T226" i="1"/>
  <c r="N226" i="1"/>
  <c r="T225" i="1"/>
  <c r="N225" i="1"/>
  <c r="T224" i="1"/>
  <c r="N224" i="1"/>
  <c r="T223" i="1"/>
  <c r="P223" i="1"/>
  <c r="O223" i="1"/>
  <c r="Q223" i="1" s="1"/>
  <c r="N223" i="1"/>
  <c r="T222" i="1"/>
  <c r="W222" i="1" s="1"/>
  <c r="Y222" i="1" s="1"/>
  <c r="N222" i="1"/>
  <c r="T221" i="1"/>
  <c r="N221" i="1"/>
  <c r="Y221" i="1" s="1"/>
  <c r="T220" i="1"/>
  <c r="N220" i="1"/>
  <c r="Y219" i="1"/>
  <c r="T219" i="1"/>
  <c r="N219" i="1"/>
  <c r="T218" i="1"/>
  <c r="W218" i="1" s="1"/>
  <c r="N218" i="1"/>
  <c r="T217" i="1"/>
  <c r="Q217" i="1"/>
  <c r="N217" i="1"/>
  <c r="T216" i="1"/>
  <c r="N216" i="1"/>
  <c r="T215" i="1"/>
  <c r="N215" i="1"/>
  <c r="T214" i="1"/>
  <c r="N214" i="1"/>
  <c r="W214" i="1" s="1"/>
  <c r="T213" i="1"/>
  <c r="W213" i="1" s="1"/>
  <c r="Y213" i="1" s="1"/>
  <c r="N213" i="1"/>
  <c r="T212" i="1"/>
  <c r="W212" i="1" s="1"/>
  <c r="N212" i="1"/>
  <c r="T211" i="1"/>
  <c r="N211" i="1"/>
  <c r="T210" i="1"/>
  <c r="N210" i="1"/>
  <c r="T209" i="1"/>
  <c r="N209" i="1"/>
  <c r="T208" i="1"/>
  <c r="P208" i="1"/>
  <c r="O208" i="1" s="1"/>
  <c r="Q208" i="1" s="1"/>
  <c r="N208" i="1"/>
  <c r="T207" i="1"/>
  <c r="N207" i="1"/>
  <c r="T206" i="1"/>
  <c r="N206" i="1"/>
  <c r="T205" i="1"/>
  <c r="N205" i="1"/>
  <c r="T204" i="1"/>
  <c r="N204" i="1"/>
  <c r="T203" i="1"/>
  <c r="N203" i="1"/>
  <c r="T202" i="1"/>
  <c r="P202" i="1"/>
  <c r="O202" i="1"/>
  <c r="N202" i="1"/>
  <c r="T201" i="1"/>
  <c r="N201" i="1"/>
  <c r="T200" i="1"/>
  <c r="N200" i="1"/>
  <c r="W200" i="1" s="1"/>
  <c r="T199" i="1"/>
  <c r="N199" i="1"/>
  <c r="T198" i="1"/>
  <c r="W198" i="1" s="1"/>
  <c r="N198" i="1"/>
  <c r="T197" i="1"/>
  <c r="N197" i="1"/>
  <c r="T196" i="1"/>
  <c r="W196" i="1" s="1"/>
  <c r="N196" i="1"/>
  <c r="T195" i="1"/>
  <c r="W195" i="1" s="1"/>
  <c r="P195" i="1"/>
  <c r="O195" i="1"/>
  <c r="N195" i="1"/>
  <c r="T194" i="1"/>
  <c r="Y194" i="1" s="1"/>
  <c r="N194" i="1"/>
  <c r="T193" i="1"/>
  <c r="W193" i="1" s="1"/>
  <c r="N193" i="1"/>
  <c r="T192" i="1"/>
  <c r="P192" i="1"/>
  <c r="O192" i="1"/>
  <c r="N192" i="1"/>
  <c r="T191" i="1"/>
  <c r="N191" i="1"/>
  <c r="T190" i="1"/>
  <c r="P190" i="1"/>
  <c r="O190" i="1"/>
  <c r="N190" i="1"/>
  <c r="T189" i="1"/>
  <c r="W189" i="1" s="1"/>
  <c r="Y189" i="1" s="1"/>
  <c r="N189" i="1"/>
  <c r="T188" i="1"/>
  <c r="N188" i="1"/>
  <c r="N187" i="1"/>
  <c r="W187" i="1" s="1"/>
  <c r="N186" i="1"/>
  <c r="N185" i="1"/>
  <c r="T184" i="1"/>
  <c r="N184" i="1"/>
  <c r="T183" i="1"/>
  <c r="N183" i="1"/>
  <c r="T182" i="1"/>
  <c r="P182" i="1"/>
  <c r="O182" i="1"/>
  <c r="Q182" i="1" s="1"/>
  <c r="N182" i="1"/>
  <c r="Y182" i="1" s="1"/>
  <c r="T181" i="1"/>
  <c r="N181" i="1"/>
  <c r="T180" i="1"/>
  <c r="N180" i="1"/>
  <c r="T179" i="1"/>
  <c r="N179" i="1"/>
  <c r="T178" i="1"/>
  <c r="N178" i="1"/>
  <c r="T177" i="1"/>
  <c r="N177" i="1"/>
  <c r="T176" i="1"/>
  <c r="P176" i="1"/>
  <c r="O176" i="1"/>
  <c r="N176" i="1"/>
  <c r="T175" i="1"/>
  <c r="N175" i="1"/>
  <c r="T174" i="1"/>
  <c r="N174" i="1"/>
  <c r="T173" i="1"/>
  <c r="Y173" i="1" s="1"/>
  <c r="N173" i="1"/>
  <c r="T172" i="1"/>
  <c r="Y172" i="1" s="1"/>
  <c r="N172" i="1"/>
  <c r="T171" i="1"/>
  <c r="N171" i="1"/>
  <c r="T170" i="1"/>
  <c r="Y170" i="1" s="1"/>
  <c r="P170" i="1"/>
  <c r="O170" i="1"/>
  <c r="N170" i="1"/>
  <c r="T169" i="1"/>
  <c r="N169" i="1"/>
  <c r="T168" i="1"/>
  <c r="N168" i="1"/>
  <c r="T167" i="1"/>
  <c r="N167" i="1"/>
  <c r="T166" i="1"/>
  <c r="W166" i="1" s="1"/>
  <c r="P166" i="1"/>
  <c r="O166" i="1"/>
  <c r="N166" i="1"/>
  <c r="T165" i="1"/>
  <c r="N165" i="1"/>
  <c r="T164" i="1"/>
  <c r="P164" i="1"/>
  <c r="O164" i="1"/>
  <c r="Q164" i="1" s="1"/>
  <c r="N164" i="1"/>
  <c r="T163" i="1"/>
  <c r="N163" i="1"/>
  <c r="T162" i="1"/>
  <c r="N162" i="1"/>
  <c r="T161" i="1"/>
  <c r="W161" i="1" s="1"/>
  <c r="P161" i="1"/>
  <c r="O161" i="1"/>
  <c r="N161" i="1"/>
  <c r="T160" i="1"/>
  <c r="N160" i="1"/>
  <c r="T159" i="1"/>
  <c r="N159" i="1"/>
  <c r="T158" i="1"/>
  <c r="N158" i="1"/>
  <c r="T157" i="1"/>
  <c r="P157" i="1"/>
  <c r="O157" i="1"/>
  <c r="N157" i="1"/>
  <c r="T156" i="1"/>
  <c r="N156" i="1"/>
  <c r="T155" i="1"/>
  <c r="Q155" i="1"/>
  <c r="N155" i="1"/>
  <c r="T154" i="1"/>
  <c r="N154" i="1"/>
  <c r="T153" i="1"/>
  <c r="N153" i="1"/>
  <c r="T152" i="1"/>
  <c r="N152" i="1"/>
  <c r="T151" i="1"/>
  <c r="Y151" i="1" s="1"/>
  <c r="N151" i="1"/>
  <c r="T150" i="1"/>
  <c r="N150" i="1"/>
  <c r="T149" i="1"/>
  <c r="N149" i="1"/>
  <c r="T148" i="1"/>
  <c r="N148" i="1"/>
  <c r="T147" i="1"/>
  <c r="Y147" i="1" s="1"/>
  <c r="P147" i="1"/>
  <c r="O147" i="1"/>
  <c r="N147" i="1"/>
  <c r="T146" i="1"/>
  <c r="N146" i="1"/>
  <c r="T145" i="1"/>
  <c r="N145" i="1"/>
  <c r="T144" i="1"/>
  <c r="N144" i="1"/>
  <c r="T143" i="1"/>
  <c r="P143" i="1"/>
  <c r="O143" i="1"/>
  <c r="N143" i="1"/>
  <c r="T142" i="1"/>
  <c r="N142" i="1"/>
  <c r="T141" i="1"/>
  <c r="N141" i="1"/>
  <c r="T140" i="1"/>
  <c r="N140" i="1"/>
  <c r="T139" i="1"/>
  <c r="P139" i="1"/>
  <c r="O139" i="1"/>
  <c r="N139" i="1"/>
  <c r="T138" i="1"/>
  <c r="N138" i="1"/>
  <c r="T137" i="1"/>
  <c r="N137" i="1"/>
  <c r="T136" i="1"/>
  <c r="N136" i="1"/>
  <c r="T135" i="1"/>
  <c r="N135" i="1"/>
  <c r="T134" i="1"/>
  <c r="N134" i="1"/>
  <c r="T133" i="1"/>
  <c r="N133" i="1"/>
  <c r="T132" i="1"/>
  <c r="N132" i="1"/>
  <c r="T131" i="1"/>
  <c r="N131" i="1"/>
  <c r="T130" i="1"/>
  <c r="P130" i="1"/>
  <c r="O130" i="1"/>
  <c r="N130" i="1"/>
  <c r="T129" i="1"/>
  <c r="N129" i="1"/>
  <c r="T128" i="1"/>
  <c r="N128" i="1"/>
  <c r="T127" i="1"/>
  <c r="N127" i="1"/>
  <c r="T126" i="1"/>
  <c r="N126" i="1"/>
  <c r="T125" i="1"/>
  <c r="N125" i="1"/>
  <c r="T124" i="1"/>
  <c r="N124" i="1"/>
  <c r="T123" i="1"/>
  <c r="N123" i="1"/>
  <c r="T122" i="1"/>
  <c r="N122" i="1"/>
  <c r="T121" i="1"/>
  <c r="N121" i="1"/>
  <c r="T120" i="1"/>
  <c r="N120" i="1"/>
  <c r="T119" i="1"/>
  <c r="P119" i="1"/>
  <c r="O119" i="1"/>
  <c r="N119" i="1"/>
  <c r="T118" i="1"/>
  <c r="N118" i="1"/>
  <c r="T117" i="1"/>
  <c r="N117" i="1"/>
  <c r="T116" i="1"/>
  <c r="N116" i="1"/>
  <c r="T115" i="1"/>
  <c r="Y115" i="1" s="1"/>
  <c r="N115" i="1"/>
  <c r="T114" i="1"/>
  <c r="N114" i="1"/>
  <c r="W114" i="1" s="1"/>
  <c r="T113" i="1"/>
  <c r="N113" i="1"/>
  <c r="T112" i="1"/>
  <c r="P112" i="1"/>
  <c r="O112" i="1"/>
  <c r="N112" i="1"/>
  <c r="T111" i="1"/>
  <c r="N111" i="1"/>
  <c r="T110" i="1"/>
  <c r="N110" i="1"/>
  <c r="T109" i="1"/>
  <c r="N109" i="1"/>
  <c r="T108" i="1"/>
  <c r="N108" i="1"/>
  <c r="W108" i="1" s="1"/>
  <c r="T107" i="1"/>
  <c r="N107" i="1"/>
  <c r="T106" i="1"/>
  <c r="N106" i="1"/>
  <c r="T105" i="1"/>
  <c r="P105" i="1"/>
  <c r="O105" i="1"/>
  <c r="Q105" i="1" s="1"/>
  <c r="N105" i="1"/>
  <c r="T104" i="1"/>
  <c r="N104" i="1"/>
  <c r="T103" i="1"/>
  <c r="N103" i="1"/>
  <c r="T102" i="1"/>
  <c r="P102" i="1"/>
  <c r="O102" i="1"/>
  <c r="N102" i="1"/>
  <c r="T101" i="1"/>
  <c r="N101" i="1"/>
  <c r="T100" i="1"/>
  <c r="N100" i="1"/>
  <c r="T99" i="1"/>
  <c r="N99" i="1"/>
  <c r="T98" i="1"/>
  <c r="N98" i="1"/>
  <c r="T97" i="1"/>
  <c r="N97" i="1"/>
  <c r="T96" i="1"/>
  <c r="N96" i="1"/>
  <c r="T95" i="1"/>
  <c r="N95" i="1"/>
  <c r="T94" i="1"/>
  <c r="N94" i="1"/>
  <c r="T93" i="1"/>
  <c r="N93" i="1"/>
  <c r="Y93" i="1" s="1"/>
  <c r="T92" i="1"/>
  <c r="N92" i="1"/>
  <c r="T91" i="1"/>
  <c r="P91" i="1"/>
  <c r="O91" i="1" s="1"/>
  <c r="Q91" i="1" s="1"/>
  <c r="N91" i="1"/>
  <c r="T90" i="1"/>
  <c r="N90" i="1"/>
  <c r="T89" i="1"/>
  <c r="N89" i="1"/>
  <c r="W89" i="1" s="1"/>
  <c r="T88" i="1"/>
  <c r="N88" i="1"/>
  <c r="T87" i="1"/>
  <c r="N87" i="1"/>
  <c r="T86" i="1"/>
  <c r="N86" i="1"/>
  <c r="Y86" i="1" s="1"/>
  <c r="T85" i="1"/>
  <c r="N85" i="1"/>
  <c r="T84" i="1"/>
  <c r="N84" i="1"/>
  <c r="T83" i="1"/>
  <c r="N83" i="1"/>
  <c r="T82" i="1"/>
  <c r="N82" i="1"/>
  <c r="T81" i="1"/>
  <c r="P81" i="1"/>
  <c r="O81" i="1" s="1"/>
  <c r="Q81" i="1" s="1"/>
  <c r="N81" i="1"/>
  <c r="Y81" i="1" s="1"/>
  <c r="T80" i="1"/>
  <c r="N80" i="1"/>
  <c r="T79" i="1"/>
  <c r="N79" i="1"/>
  <c r="T78" i="1"/>
  <c r="N78" i="1"/>
  <c r="T77" i="1"/>
  <c r="N77" i="1"/>
  <c r="Y77" i="1" s="1"/>
  <c r="T76" i="1"/>
  <c r="N76" i="1"/>
  <c r="W76" i="1" s="1"/>
  <c r="T75" i="1"/>
  <c r="P75" i="1"/>
  <c r="O75" i="1" s="1"/>
  <c r="Q75" i="1" s="1"/>
  <c r="N75" i="1"/>
  <c r="T74" i="1"/>
  <c r="N74" i="1"/>
  <c r="Y73" i="1"/>
  <c r="T73" i="1"/>
  <c r="N73" i="1"/>
  <c r="T72" i="1"/>
  <c r="N72" i="1"/>
  <c r="T71" i="1"/>
  <c r="N71" i="1"/>
  <c r="T70" i="1"/>
  <c r="N70" i="1"/>
  <c r="T69" i="1"/>
  <c r="P69" i="1"/>
  <c r="O69" i="1" s="1"/>
  <c r="Q69" i="1" s="1"/>
  <c r="N69" i="1"/>
  <c r="Y69" i="1" s="1"/>
  <c r="T68" i="1"/>
  <c r="N68" i="1"/>
  <c r="T67" i="1"/>
  <c r="N67" i="1"/>
  <c r="W67" i="1" s="1"/>
  <c r="T66" i="1"/>
  <c r="N66" i="1"/>
  <c r="T65" i="1"/>
  <c r="N65" i="1"/>
  <c r="T64" i="1"/>
  <c r="N64" i="1"/>
  <c r="T63" i="1"/>
  <c r="N63" i="1"/>
  <c r="T62" i="1"/>
  <c r="P62" i="1"/>
  <c r="O62" i="1"/>
  <c r="N62" i="1"/>
  <c r="T61" i="1"/>
  <c r="N61" i="1"/>
  <c r="T60" i="1"/>
  <c r="N60" i="1"/>
  <c r="T59" i="1"/>
  <c r="N59" i="1"/>
  <c r="T58" i="1"/>
  <c r="N58" i="1"/>
  <c r="T57" i="1"/>
  <c r="N57" i="1"/>
  <c r="T56" i="1"/>
  <c r="N56" i="1"/>
  <c r="T55" i="1"/>
  <c r="Y55" i="1" s="1"/>
  <c r="P55" i="1"/>
  <c r="O55" i="1"/>
  <c r="N55" i="1"/>
  <c r="T54" i="1"/>
  <c r="N54" i="1"/>
  <c r="T53" i="1"/>
  <c r="N53" i="1"/>
  <c r="T52" i="1"/>
  <c r="N52" i="1"/>
  <c r="T51" i="1"/>
  <c r="P51" i="1"/>
  <c r="O51" i="1"/>
  <c r="N51" i="1"/>
  <c r="T50" i="1"/>
  <c r="N50" i="1"/>
  <c r="T49" i="1"/>
  <c r="N49" i="1"/>
  <c r="T48" i="1"/>
  <c r="N48" i="1"/>
  <c r="T47" i="1"/>
  <c r="N47" i="1"/>
  <c r="T46" i="1"/>
  <c r="P46" i="1"/>
  <c r="O46" i="1"/>
  <c r="N46" i="1"/>
  <c r="T45" i="1"/>
  <c r="N45" i="1"/>
  <c r="T44" i="1"/>
  <c r="N44" i="1"/>
  <c r="T43" i="1"/>
  <c r="P43" i="1"/>
  <c r="O43" i="1"/>
  <c r="N43" i="1"/>
  <c r="T42" i="1"/>
  <c r="W42" i="1" s="1"/>
  <c r="N42" i="1"/>
  <c r="Y42" i="1" s="1"/>
  <c r="T41" i="1"/>
  <c r="N41" i="1"/>
  <c r="T40" i="1"/>
  <c r="W40" i="1" s="1"/>
  <c r="N40" i="1"/>
  <c r="T39" i="1"/>
  <c r="N39" i="1"/>
  <c r="T38" i="1"/>
  <c r="N38" i="1"/>
  <c r="W38" i="1" s="1"/>
  <c r="T37" i="1"/>
  <c r="N37" i="1"/>
  <c r="T36" i="1"/>
  <c r="P36" i="1"/>
  <c r="O36" i="1"/>
  <c r="N36" i="1"/>
  <c r="T35" i="1"/>
  <c r="N35" i="1"/>
  <c r="T34" i="1"/>
  <c r="N34" i="1"/>
  <c r="T33" i="1"/>
  <c r="N33" i="1"/>
  <c r="T32" i="1"/>
  <c r="N32" i="1"/>
  <c r="T31" i="1"/>
  <c r="N31" i="1"/>
  <c r="T30" i="1"/>
  <c r="N30" i="1"/>
  <c r="T29" i="1"/>
  <c r="N29" i="1"/>
  <c r="T28" i="1"/>
  <c r="P28" i="1"/>
  <c r="O28" i="1"/>
  <c r="N28" i="1"/>
  <c r="Y28" i="1" s="1"/>
  <c r="T27" i="1"/>
  <c r="N27" i="1"/>
  <c r="T26" i="1"/>
  <c r="N26" i="1"/>
  <c r="T25" i="1"/>
  <c r="N25" i="1"/>
  <c r="T24" i="1"/>
  <c r="N24" i="1"/>
  <c r="W24" i="1" s="1"/>
  <c r="T23" i="1"/>
  <c r="N23" i="1"/>
  <c r="T22" i="1"/>
  <c r="P22" i="1"/>
  <c r="O22" i="1" s="1"/>
  <c r="Q22" i="1" s="1"/>
  <c r="N22" i="1"/>
  <c r="T21" i="1"/>
  <c r="N21" i="1"/>
  <c r="T20" i="1"/>
  <c r="N20" i="1"/>
  <c r="T19" i="1"/>
  <c r="N19" i="1"/>
  <c r="T18" i="1"/>
  <c r="N18" i="1"/>
  <c r="T17" i="1"/>
  <c r="N17" i="1"/>
  <c r="T16" i="1"/>
  <c r="W16" i="1" s="1"/>
  <c r="P16" i="1"/>
  <c r="O16" i="1" s="1"/>
  <c r="Q16" i="1" s="1"/>
  <c r="N16" i="1"/>
  <c r="T15" i="1"/>
  <c r="N15" i="1"/>
  <c r="T14" i="1"/>
  <c r="N14" i="1"/>
  <c r="T13" i="1"/>
  <c r="N13" i="1"/>
  <c r="T12" i="1"/>
  <c r="Y12" i="1" s="1"/>
  <c r="N12" i="1"/>
  <c r="T11" i="1"/>
  <c r="N11" i="1"/>
  <c r="W11" i="1" s="1"/>
  <c r="T10" i="1"/>
  <c r="N10" i="1"/>
  <c r="T9" i="1"/>
  <c r="P9" i="1"/>
  <c r="O9" i="1" s="1"/>
  <c r="Q9" i="1" s="1"/>
  <c r="N9" i="1"/>
  <c r="T8" i="1"/>
  <c r="N8" i="1"/>
  <c r="W8" i="1" s="1"/>
  <c r="T7" i="1"/>
  <c r="N7" i="1"/>
  <c r="T6" i="1"/>
  <c r="N6" i="1"/>
  <c r="T5" i="1"/>
  <c r="N5" i="1"/>
  <c r="T4" i="1"/>
  <c r="N4" i="1"/>
  <c r="T3" i="1"/>
  <c r="N3" i="1"/>
  <c r="T2" i="1"/>
  <c r="Y2" i="1" s="1"/>
  <c r="P2" i="1"/>
  <c r="O2" i="1" s="1"/>
  <c r="Q2" i="1" s="1"/>
  <c r="N2" i="1"/>
  <c r="AL734" i="1" a="1"/>
  <c r="AL3" i="1" a="1"/>
  <c r="AL7" i="1" a="1"/>
  <c r="AL11" i="1" a="1"/>
  <c r="AL15" i="1" a="1"/>
  <c r="AL19" i="1" a="1"/>
  <c r="AL23" i="1" a="1"/>
  <c r="AL27" i="1" a="1"/>
  <c r="AL31" i="1" a="1"/>
  <c r="AL35" i="1" a="1"/>
  <c r="AL39" i="1" a="1"/>
  <c r="AL43" i="1" a="1"/>
  <c r="AL47" i="1" a="1"/>
  <c r="AL51" i="1" a="1"/>
  <c r="AL55" i="1" a="1"/>
  <c r="AL59" i="1" a="1"/>
  <c r="AL63" i="1" a="1"/>
  <c r="AL67" i="1" a="1"/>
  <c r="AL71" i="1" a="1"/>
  <c r="AL75" i="1" a="1"/>
  <c r="AL79" i="1" a="1"/>
  <c r="AL83" i="1" a="1"/>
  <c r="AL87" i="1" a="1"/>
  <c r="AL91" i="1" a="1"/>
  <c r="AL95" i="1" a="1"/>
  <c r="AL99" i="1" a="1"/>
  <c r="AL103" i="1" a="1"/>
  <c r="AL107" i="1" a="1"/>
  <c r="AL111" i="1" a="1"/>
  <c r="AL115" i="1" a="1"/>
  <c r="AL119" i="1" a="1"/>
  <c r="AL123" i="1" a="1"/>
  <c r="AL127" i="1" a="1"/>
  <c r="AL131" i="1" a="1"/>
  <c r="AL135" i="1" a="1"/>
  <c r="AL139" i="1" a="1"/>
  <c r="AL143" i="1" a="1"/>
  <c r="AL147" i="1" a="1"/>
  <c r="AL151" i="1" a="1"/>
  <c r="AL155" i="1" a="1"/>
  <c r="AL159" i="1" a="1"/>
  <c r="AL163" i="1" a="1"/>
  <c r="AL167" i="1" a="1"/>
  <c r="AL171" i="1" a="1"/>
  <c r="AL175" i="1" a="1"/>
  <c r="AL179" i="1" a="1"/>
  <c r="AL183" i="1" a="1"/>
  <c r="AL187" i="1" a="1"/>
  <c r="AL191" i="1" a="1"/>
  <c r="AL195" i="1" a="1"/>
  <c r="AL199" i="1" a="1"/>
  <c r="AL203" i="1" a="1"/>
  <c r="AL207" i="1" a="1"/>
  <c r="AL211" i="1" a="1"/>
  <c r="AL215" i="1" a="1"/>
  <c r="AL219" i="1" a="1"/>
  <c r="AL223" i="1" a="1"/>
  <c r="AL227" i="1" a="1"/>
  <c r="AL231" i="1" a="1"/>
  <c r="AL235" i="1" a="1"/>
  <c r="AL239" i="1" a="1"/>
  <c r="AL243" i="1" a="1"/>
  <c r="AL247" i="1" a="1"/>
  <c r="AL251" i="1" a="1"/>
  <c r="AL255" i="1" a="1"/>
  <c r="AL259" i="1" a="1"/>
  <c r="AL263" i="1" a="1"/>
  <c r="AL267" i="1" a="1"/>
  <c r="AL271" i="1" a="1"/>
  <c r="AL275" i="1" a="1"/>
  <c r="AL279" i="1" a="1"/>
  <c r="AL283" i="1" a="1"/>
  <c r="AL287" i="1" a="1"/>
  <c r="AL291" i="1" a="1"/>
  <c r="AL295" i="1" a="1"/>
  <c r="AL299" i="1" a="1"/>
  <c r="AL303" i="1" a="1"/>
  <c r="AL307" i="1" a="1"/>
  <c r="AL311" i="1" a="1"/>
  <c r="AL4" i="1" a="1"/>
  <c r="AL6" i="1" a="1"/>
  <c r="AL10" i="1" a="1"/>
  <c r="AL14" i="1" a="1"/>
  <c r="AL18" i="1" a="1"/>
  <c r="AL22" i="1" a="1"/>
  <c r="AL26" i="1" a="1"/>
  <c r="AL30" i="1" a="1"/>
  <c r="AL34" i="1" a="1"/>
  <c r="AL38" i="1" a="1"/>
  <c r="AL42" i="1" a="1"/>
  <c r="AL46" i="1" a="1"/>
  <c r="AL50" i="1" a="1"/>
  <c r="AL54" i="1" a="1"/>
  <c r="AL58" i="1" a="1"/>
  <c r="AL62" i="1" a="1"/>
  <c r="AL66" i="1" a="1"/>
  <c r="AL70" i="1" a="1"/>
  <c r="AL74" i="1" a="1"/>
  <c r="AL78" i="1" a="1"/>
  <c r="AL82" i="1" a="1"/>
  <c r="AL86" i="1" a="1"/>
  <c r="AL90" i="1" a="1"/>
  <c r="AL94" i="1" a="1"/>
  <c r="AL98" i="1" a="1"/>
  <c r="AL102" i="1" a="1"/>
  <c r="AL106" i="1" a="1"/>
  <c r="AL110" i="1" a="1"/>
  <c r="AL114" i="1" a="1"/>
  <c r="AL118" i="1" a="1"/>
  <c r="AL122" i="1" a="1"/>
  <c r="AL126" i="1" a="1"/>
  <c r="AL130" i="1" a="1"/>
  <c r="AL134" i="1" a="1"/>
  <c r="AL138" i="1" a="1"/>
  <c r="AL142" i="1" a="1"/>
  <c r="AL146" i="1" a="1"/>
  <c r="AL150" i="1" a="1"/>
  <c r="AL154" i="1" a="1"/>
  <c r="AL158" i="1" a="1"/>
  <c r="AL162" i="1" a="1"/>
  <c r="AL166" i="1" a="1"/>
  <c r="AL170" i="1" a="1"/>
  <c r="AL174" i="1" a="1"/>
  <c r="AL178" i="1" a="1"/>
  <c r="AL182" i="1" a="1"/>
  <c r="AL186" i="1" a="1"/>
  <c r="AL5" i="1" a="1"/>
  <c r="AL13" i="1" a="1"/>
  <c r="AL21" i="1" a="1"/>
  <c r="AL29" i="1" a="1"/>
  <c r="AL37" i="1" a="1"/>
  <c r="AL45" i="1" a="1"/>
  <c r="AL53" i="1" a="1"/>
  <c r="AL61" i="1" a="1"/>
  <c r="AL69" i="1" a="1"/>
  <c r="AL77" i="1" a="1"/>
  <c r="AL85" i="1" a="1"/>
  <c r="AL93" i="1" a="1"/>
  <c r="AL101" i="1" a="1"/>
  <c r="AL109" i="1" a="1"/>
  <c r="AL117" i="1" a="1"/>
  <c r="AL125" i="1" a="1"/>
  <c r="AL133" i="1" a="1"/>
  <c r="AL141" i="1" a="1"/>
  <c r="AL149" i="1" a="1"/>
  <c r="AL157" i="1" a="1"/>
  <c r="AL165" i="1" a="1"/>
  <c r="AL173" i="1" a="1"/>
  <c r="AL181" i="1" a="1"/>
  <c r="AL189" i="1" a="1"/>
  <c r="AL196" i="1" a="1"/>
  <c r="AL214" i="1" a="1"/>
  <c r="AL221" i="1" a="1"/>
  <c r="AL228" i="1" a="1"/>
  <c r="AL246" i="1" a="1"/>
  <c r="AL253" i="1" a="1"/>
  <c r="AL260" i="1" a="1"/>
  <c r="AL278" i="1" a="1"/>
  <c r="AL285" i="1" a="1"/>
  <c r="AL292" i="1" a="1"/>
  <c r="AL310" i="1" a="1"/>
  <c r="AL327" i="1" a="1"/>
  <c r="AL343" i="1" a="1"/>
  <c r="AL347" i="1" a="1"/>
  <c r="AL351" i="1" a="1"/>
  <c r="AL355" i="1" a="1"/>
  <c r="AL359" i="1" a="1"/>
  <c r="AL363" i="1" a="1"/>
  <c r="AL367" i="1" a="1"/>
  <c r="AL371" i="1" a="1"/>
  <c r="AL375" i="1" a="1"/>
  <c r="AL379" i="1" a="1"/>
  <c r="AL383" i="1" a="1"/>
  <c r="AL387" i="1" a="1"/>
  <c r="AL391" i="1" a="1"/>
  <c r="AL395" i="1" a="1"/>
  <c r="AL399" i="1" a="1"/>
  <c r="AL403" i="1" a="1"/>
  <c r="AL407" i="1" a="1"/>
  <c r="AL411" i="1" a="1"/>
  <c r="AL415" i="1" a="1"/>
  <c r="AL419" i="1" a="1"/>
  <c r="AL423" i="1" a="1"/>
  <c r="AL427" i="1" a="1"/>
  <c r="AL431" i="1" a="1"/>
  <c r="AL435" i="1" a="1"/>
  <c r="AL439" i="1" a="1"/>
  <c r="AL443" i="1" a="1"/>
  <c r="AL447" i="1" a="1"/>
  <c r="AL451" i="1" a="1"/>
  <c r="AL455" i="1" a="1"/>
  <c r="AL459" i="1" a="1"/>
  <c r="AL463" i="1" a="1"/>
  <c r="AL467" i="1" a="1"/>
  <c r="AL471" i="1" a="1"/>
  <c r="AL475" i="1" a="1"/>
  <c r="AL479" i="1" a="1"/>
  <c r="AL483" i="1" a="1"/>
  <c r="AL487" i="1" a="1"/>
  <c r="AL491" i="1" a="1"/>
  <c r="AL495" i="1" a="1"/>
  <c r="AL499" i="1" a="1"/>
  <c r="AL503" i="1" a="1"/>
  <c r="AL507" i="1" a="1"/>
  <c r="AL511" i="1" a="1"/>
  <c r="AL515" i="1" a="1"/>
  <c r="AL519" i="1" a="1"/>
  <c r="AL523" i="1" a="1"/>
  <c r="AL527" i="1" a="1"/>
  <c r="AL531" i="1" a="1"/>
  <c r="AL535" i="1" a="1"/>
  <c r="AL539" i="1" a="1"/>
  <c r="AL543" i="1" a="1"/>
  <c r="AL547" i="1" a="1"/>
  <c r="AL551" i="1" a="1"/>
  <c r="AL555" i="1" a="1"/>
  <c r="AL559" i="1" a="1"/>
  <c r="AL563" i="1" a="1"/>
  <c r="AL567" i="1" a="1"/>
  <c r="AL571" i="1" a="1"/>
  <c r="AL575" i="1" a="1"/>
  <c r="AL579" i="1" a="1"/>
  <c r="AL583" i="1" a="1"/>
  <c r="AL587" i="1" a="1"/>
  <c r="AL591" i="1" a="1"/>
  <c r="AL595" i="1" a="1"/>
  <c r="AL599" i="1" a="1"/>
  <c r="AL603" i="1" a="1"/>
  <c r="AL607" i="1" a="1"/>
  <c r="AL611" i="1" a="1"/>
  <c r="AL615" i="1" a="1"/>
  <c r="AL619" i="1" a="1"/>
  <c r="AL623" i="1" a="1"/>
  <c r="AL627" i="1" a="1"/>
  <c r="AL631" i="1" a="1"/>
  <c r="AL202" i="1" a="1"/>
  <c r="AL209" i="1" a="1"/>
  <c r="AL216" i="1" a="1"/>
  <c r="AL234" i="1" a="1"/>
  <c r="AL241" i="1" a="1"/>
  <c r="AL248" i="1" a="1"/>
  <c r="AL266" i="1" a="1"/>
  <c r="AL273" i="1" a="1"/>
  <c r="AL280" i="1" a="1"/>
  <c r="AL298" i="1" a="1"/>
  <c r="AL305" i="1" a="1"/>
  <c r="AL312" i="1" a="1"/>
  <c r="AL317" i="1" a="1"/>
  <c r="AL322" i="1" a="1"/>
  <c r="AL328" i="1" a="1"/>
  <c r="AL333" i="1" a="1"/>
  <c r="AL338" i="1" a="1"/>
  <c r="AL8" i="1" a="1"/>
  <c r="AL16" i="1" a="1"/>
  <c r="AL24" i="1" a="1"/>
  <c r="AL32" i="1" a="1"/>
  <c r="AL40" i="1" a="1"/>
  <c r="AL48" i="1" a="1"/>
  <c r="AL56" i="1" a="1"/>
  <c r="AL64" i="1" a="1"/>
  <c r="AL72" i="1" a="1"/>
  <c r="AL80" i="1" a="1"/>
  <c r="AL88" i="1" a="1"/>
  <c r="AL96" i="1" a="1"/>
  <c r="AL104" i="1" a="1"/>
  <c r="AL112" i="1" a="1"/>
  <c r="AL120" i="1" a="1"/>
  <c r="AL128" i="1" a="1"/>
  <c r="AL136" i="1" a="1"/>
  <c r="AL144" i="1" a="1"/>
  <c r="AL152" i="1" a="1"/>
  <c r="AL160" i="1" a="1"/>
  <c r="AL168" i="1" a="1"/>
  <c r="AL176" i="1" a="1"/>
  <c r="AL184" i="1" a="1"/>
  <c r="AL190" i="1" a="1"/>
  <c r="AL197" i="1" a="1"/>
  <c r="AL204" i="1" a="1"/>
  <c r="AL222" i="1" a="1"/>
  <c r="AL229" i="1" a="1"/>
  <c r="AL236" i="1" a="1"/>
  <c r="AL254" i="1" a="1"/>
  <c r="AL261" i="1" a="1"/>
  <c r="AL268" i="1" a="1"/>
  <c r="AL286" i="1" a="1"/>
  <c r="AL293" i="1" a="1"/>
  <c r="AL300" i="1" a="1"/>
  <c r="AL323" i="1" a="1"/>
  <c r="AL339" i="1" a="1"/>
  <c r="AL344" i="1" a="1"/>
  <c r="AL348" i="1" a="1"/>
  <c r="AL352" i="1" a="1"/>
  <c r="AL356" i="1" a="1"/>
  <c r="AL360" i="1" a="1"/>
  <c r="AL364" i="1" a="1"/>
  <c r="AL368" i="1" a="1"/>
  <c r="AL372" i="1" a="1"/>
  <c r="AL376" i="1" a="1"/>
  <c r="AL380" i="1" a="1"/>
  <c r="AL384" i="1" a="1"/>
  <c r="AL388" i="1" a="1"/>
  <c r="AL392" i="1" a="1"/>
  <c r="AL396" i="1" a="1"/>
  <c r="AL400" i="1" a="1"/>
  <c r="AL404" i="1" a="1"/>
  <c r="AL408" i="1" a="1"/>
  <c r="AL412" i="1" a="1"/>
  <c r="AL416" i="1" a="1"/>
  <c r="AL420" i="1" a="1"/>
  <c r="AL424" i="1" a="1"/>
  <c r="AL428" i="1" a="1"/>
  <c r="AL432" i="1" a="1"/>
  <c r="AL436" i="1" a="1"/>
  <c r="AL440" i="1" a="1"/>
  <c r="AL444" i="1" a="1"/>
  <c r="AL448" i="1" a="1"/>
  <c r="AL452" i="1" a="1"/>
  <c r="AL456" i="1" a="1"/>
  <c r="AL460" i="1" a="1"/>
  <c r="AL464" i="1" a="1"/>
  <c r="AL468" i="1" a="1"/>
  <c r="AL472" i="1" a="1"/>
  <c r="AL476" i="1" a="1"/>
  <c r="AL480" i="1" a="1"/>
  <c r="AL484" i="1" a="1"/>
  <c r="AL488" i="1" a="1"/>
  <c r="AL492" i="1" a="1"/>
  <c r="AL496" i="1" a="1"/>
  <c r="AL500" i="1" a="1"/>
  <c r="AL504" i="1" a="1"/>
  <c r="AL508" i="1" a="1"/>
  <c r="AL512" i="1" a="1"/>
  <c r="AL516" i="1" a="1"/>
  <c r="AL520" i="1" a="1"/>
  <c r="AL524" i="1" a="1"/>
  <c r="AL528" i="1" a="1"/>
  <c r="AL532" i="1" a="1"/>
  <c r="AL536" i="1" a="1"/>
  <c r="AL540" i="1" a="1"/>
  <c r="AL544" i="1" a="1"/>
  <c r="AL548" i="1" a="1"/>
  <c r="AL552" i="1" a="1"/>
  <c r="AL556" i="1" a="1"/>
  <c r="AL560" i="1" a="1"/>
  <c r="AL564" i="1" a="1"/>
  <c r="AL568" i="1" a="1"/>
  <c r="AL572" i="1" a="1"/>
  <c r="AL576" i="1" a="1"/>
  <c r="AL580" i="1" a="1"/>
  <c r="AL192" i="1" a="1"/>
  <c r="AL9" i="1" a="1"/>
  <c r="AL17" i="1" a="1"/>
  <c r="AL25" i="1" a="1"/>
  <c r="AL33" i="1" a="1"/>
  <c r="AL41" i="1" a="1"/>
  <c r="AL49" i="1" a="1"/>
  <c r="AL57" i="1" a="1"/>
  <c r="AL65" i="1" a="1"/>
  <c r="AL73" i="1" a="1"/>
  <c r="AL81" i="1" a="1"/>
  <c r="AL89" i="1" a="1"/>
  <c r="AL97" i="1" a="1"/>
  <c r="AL105" i="1" a="1"/>
  <c r="AL113" i="1" a="1"/>
  <c r="AL121" i="1" a="1"/>
  <c r="AL129" i="1" a="1"/>
  <c r="AL137" i="1" a="1"/>
  <c r="AL145" i="1" a="1"/>
  <c r="AL153" i="1" a="1"/>
  <c r="AL161" i="1" a="1"/>
  <c r="AL169" i="1" a="1"/>
  <c r="AL177" i="1" a="1"/>
  <c r="AL185" i="1" a="1"/>
  <c r="AL198" i="1" a="1"/>
  <c r="AL205" i="1" a="1"/>
  <c r="AL212" i="1" a="1"/>
  <c r="AL193" i="1" a="1"/>
  <c r="AL200" i="1" a="1"/>
  <c r="AL12" i="1" a="1"/>
  <c r="AL20" i="1" a="1"/>
  <c r="AL28" i="1" a="1"/>
  <c r="AL36" i="1" a="1"/>
  <c r="AL44" i="1" a="1"/>
  <c r="AL52" i="1" a="1"/>
  <c r="AL60" i="1" a="1"/>
  <c r="AL68" i="1" a="1"/>
  <c r="AL76" i="1" a="1"/>
  <c r="AL84" i="1" a="1"/>
  <c r="AL92" i="1" a="1"/>
  <c r="AL100" i="1" a="1"/>
  <c r="AL108" i="1" a="1"/>
  <c r="AL116" i="1" a="1"/>
  <c r="AL124" i="1" a="1"/>
  <c r="AL132" i="1" a="1"/>
  <c r="AL140" i="1" a="1"/>
  <c r="AL148" i="1" a="1"/>
  <c r="AL156" i="1" a="1"/>
  <c r="AL164" i="1" a="1"/>
  <c r="AL172" i="1" a="1"/>
  <c r="AL180" i="1" a="1"/>
  <c r="AL188" i="1" a="1"/>
  <c r="AL206" i="1" a="1"/>
  <c r="AL213" i="1" a="1"/>
  <c r="AL220" i="1" a="1"/>
  <c r="AL238" i="1" a="1"/>
  <c r="AL245" i="1" a="1"/>
  <c r="AL252" i="1" a="1"/>
  <c r="AL201" i="1" a="1"/>
  <c r="AL218" i="1" a="1"/>
  <c r="AL232" i="1" a="1"/>
  <c r="AL257" i="1" a="1"/>
  <c r="AL269" i="1" a="1"/>
  <c r="AL289" i="1" a="1"/>
  <c r="AL309" i="1" a="1"/>
  <c r="AL319" i="1" a="1"/>
  <c r="AL326" i="1" a="1"/>
  <c r="AL336" i="1" a="1"/>
  <c r="AL350" i="1" a="1"/>
  <c r="AL357" i="1" a="1"/>
  <c r="AL382" i="1" a="1"/>
  <c r="AL389" i="1" a="1"/>
  <c r="AL414" i="1" a="1"/>
  <c r="AL421" i="1" a="1"/>
  <c r="AL446" i="1" a="1"/>
  <c r="AL453" i="1" a="1"/>
  <c r="AL478" i="1" a="1"/>
  <c r="AL485" i="1" a="1"/>
  <c r="AL510" i="1" a="1"/>
  <c r="AL517" i="1" a="1"/>
  <c r="AL542" i="1" a="1"/>
  <c r="AL549" i="1" a="1"/>
  <c r="AL574" i="1" a="1"/>
  <c r="AL581" i="1" a="1"/>
  <c r="AL586" i="1" a="1"/>
  <c r="AL592" i="1" a="1"/>
  <c r="AL597" i="1" a="1"/>
  <c r="AL602" i="1" a="1"/>
  <c r="AL608" i="1" a="1"/>
  <c r="AL613" i="1" a="1"/>
  <c r="AL618" i="1" a="1"/>
  <c r="AL624" i="1" a="1"/>
  <c r="AL629" i="1" a="1"/>
  <c r="AL634" i="1" a="1"/>
  <c r="AL643" i="1" a="1"/>
  <c r="AL648" i="1" a="1"/>
  <c r="AL657" i="1" a="1"/>
  <c r="AL666" i="1" a="1"/>
  <c r="AL675" i="1" a="1"/>
  <c r="AL680" i="1" a="1"/>
  <c r="AL689" i="1" a="1"/>
  <c r="AL698" i="1" a="1"/>
  <c r="AL707" i="1" a="1"/>
  <c r="AL712" i="1" a="1"/>
  <c r="AL721" i="1" a="1"/>
  <c r="AL730" i="1" a="1"/>
  <c r="AL739" i="1" a="1"/>
  <c r="AL744" i="1" a="1"/>
  <c r="AL753" i="1" a="1"/>
  <c r="AL762" i="1" a="1"/>
  <c r="AL771" i="1" a="1"/>
  <c r="AL776" i="1" a="1"/>
  <c r="AL233" i="1" a="1"/>
  <c r="AL258" i="1" a="1"/>
  <c r="AL281" i="1" a="1"/>
  <c r="AL301" i="1" a="1"/>
  <c r="AL320" i="1" a="1"/>
  <c r="AL329" i="1" a="1"/>
  <c r="AL345" i="1" a="1"/>
  <c r="AL370" i="1" a="1"/>
  <c r="AL377" i="1" a="1"/>
  <c r="AL402" i="1" a="1"/>
  <c r="AL409" i="1" a="1"/>
  <c r="AL434" i="1" a="1"/>
  <c r="AL441" i="1" a="1"/>
  <c r="AL466" i="1" a="1"/>
  <c r="AL473" i="1" a="1"/>
  <c r="AL498" i="1" a="1"/>
  <c r="AL505" i="1" a="1"/>
  <c r="AL530" i="1" a="1"/>
  <c r="AL537" i="1" a="1"/>
  <c r="AL562" i="1" a="1"/>
  <c r="AL569" i="1" a="1"/>
  <c r="AL639" i="1" a="1"/>
  <c r="AL644" i="1" a="1"/>
  <c r="AL653" i="1" a="1"/>
  <c r="AL662" i="1" a="1"/>
  <c r="AL671" i="1" a="1"/>
  <c r="AL676" i="1" a="1"/>
  <c r="AL685" i="1" a="1"/>
  <c r="AL694" i="1" a="1"/>
  <c r="AL703" i="1" a="1"/>
  <c r="AL708" i="1" a="1"/>
  <c r="AL717" i="1" a="1"/>
  <c r="AL726" i="1" a="1"/>
  <c r="AL735" i="1" a="1"/>
  <c r="AL740" i="1" a="1"/>
  <c r="AL749" i="1" a="1"/>
  <c r="AL758" i="1" a="1"/>
  <c r="AL767" i="1" a="1"/>
  <c r="AL772" i="1" a="1"/>
  <c r="AL208" i="1" a="1"/>
  <c r="AL224" i="1" a="1"/>
  <c r="AL249" i="1" a="1"/>
  <c r="AL270" i="1" a="1"/>
  <c r="AL290" i="1" a="1"/>
  <c r="AL313" i="1" a="1"/>
  <c r="AL337" i="1" a="1"/>
  <c r="AL358" i="1" a="1"/>
  <c r="AL365" i="1" a="1"/>
  <c r="AL390" i="1" a="1"/>
  <c r="AL397" i="1" a="1"/>
  <c r="AL422" i="1" a="1"/>
  <c r="AL429" i="1" a="1"/>
  <c r="AL454" i="1" a="1"/>
  <c r="AL461" i="1" a="1"/>
  <c r="AL486" i="1" a="1"/>
  <c r="AL493" i="1" a="1"/>
  <c r="AL518" i="1" a="1"/>
  <c r="AL525" i="1" a="1"/>
  <c r="AL550" i="1" a="1"/>
  <c r="AL557" i="1" a="1"/>
  <c r="AL582" i="1" a="1"/>
  <c r="AL588" i="1" a="1"/>
  <c r="AL593" i="1" a="1"/>
  <c r="AL598" i="1" a="1"/>
  <c r="AL604" i="1" a="1"/>
  <c r="AL609" i="1" a="1"/>
  <c r="AL614" i="1" a="1"/>
  <c r="AL620" i="1" a="1"/>
  <c r="AL625" i="1" a="1"/>
  <c r="AL630" i="1" a="1"/>
  <c r="AL635" i="1" a="1"/>
  <c r="AL640" i="1" a="1"/>
  <c r="AL649" i="1" a="1"/>
  <c r="AL658" i="1" a="1"/>
  <c r="AL667" i="1" a="1"/>
  <c r="AL672" i="1" a="1"/>
  <c r="AL681" i="1" a="1"/>
  <c r="AL690" i="1" a="1"/>
  <c r="AL699" i="1" a="1"/>
  <c r="AL704" i="1" a="1"/>
  <c r="AL713" i="1" a="1"/>
  <c r="AL722" i="1" a="1"/>
  <c r="AL731" i="1" a="1"/>
  <c r="AL736" i="1" a="1"/>
  <c r="AL745" i="1" a="1"/>
  <c r="AL754" i="1" a="1"/>
  <c r="AL763" i="1" a="1"/>
  <c r="AL768" i="1" a="1"/>
  <c r="AL777" i="1" a="1"/>
  <c r="AL210" i="1" a="1"/>
  <c r="AL237" i="1" a="1"/>
  <c r="AL262" i="1" a="1"/>
  <c r="AL272" i="1" a="1"/>
  <c r="AL282" i="1" a="1"/>
  <c r="AL302" i="1" a="1"/>
  <c r="AL321" i="1" a="1"/>
  <c r="AL330" i="1" a="1"/>
  <c r="AL340" i="1" a="1"/>
  <c r="AL346" i="1" a="1"/>
  <c r="AL353" i="1" a="1"/>
  <c r="AL378" i="1" a="1"/>
  <c r="AL385" i="1" a="1"/>
  <c r="AL410" i="1" a="1"/>
  <c r="AL417" i="1" a="1"/>
  <c r="AL442" i="1" a="1"/>
  <c r="AL449" i="1" a="1"/>
  <c r="AL474" i="1" a="1"/>
  <c r="AL481" i="1" a="1"/>
  <c r="AL506" i="1" a="1"/>
  <c r="AL513" i="1" a="1"/>
  <c r="AL538" i="1" a="1"/>
  <c r="AL545" i="1" a="1"/>
  <c r="AL570" i="1" a="1"/>
  <c r="AL577" i="1" a="1"/>
  <c r="AL636" i="1" a="1"/>
  <c r="AL645" i="1" a="1"/>
  <c r="AL654" i="1" a="1"/>
  <c r="AL663" i="1" a="1"/>
  <c r="AL668" i="1" a="1"/>
  <c r="AL677" i="1" a="1"/>
  <c r="AL686" i="1" a="1"/>
  <c r="AL695" i="1" a="1"/>
  <c r="AL700" i="1" a="1"/>
  <c r="AL709" i="1" a="1"/>
  <c r="AL718" i="1" a="1"/>
  <c r="AL727" i="1" a="1"/>
  <c r="AL732" i="1" a="1"/>
  <c r="AL741" i="1" a="1"/>
  <c r="AL750" i="1" a="1"/>
  <c r="AL759" i="1" a="1"/>
  <c r="AL764" i="1" a="1"/>
  <c r="AL773" i="1" a="1"/>
  <c r="AL225" i="1" a="1"/>
  <c r="AL250" i="1" a="1"/>
  <c r="AL264" i="1" a="1"/>
  <c r="AL274" i="1" a="1"/>
  <c r="AL284" i="1" a="1"/>
  <c r="AL294" i="1" a="1"/>
  <c r="AL304" i="1" a="1"/>
  <c r="AL314" i="1" a="1"/>
  <c r="AL324" i="1" a="1"/>
  <c r="AL331" i="1" a="1"/>
  <c r="AL366" i="1" a="1"/>
  <c r="AL373" i="1" a="1"/>
  <c r="AL398" i="1" a="1"/>
  <c r="AL405" i="1" a="1"/>
  <c r="AL430" i="1" a="1"/>
  <c r="AL437" i="1" a="1"/>
  <c r="AL462" i="1" a="1"/>
  <c r="AL469" i="1" a="1"/>
  <c r="AL494" i="1" a="1"/>
  <c r="AL501" i="1" a="1"/>
  <c r="AL526" i="1" a="1"/>
  <c r="AL533" i="1" a="1"/>
  <c r="AL558" i="1" a="1"/>
  <c r="AL565" i="1" a="1"/>
  <c r="AL584" i="1" a="1"/>
  <c r="AL589" i="1" a="1"/>
  <c r="AL594" i="1" a="1"/>
  <c r="AL600" i="1" a="1"/>
  <c r="AL605" i="1" a="1"/>
  <c r="AL610" i="1" a="1"/>
  <c r="AL616" i="1" a="1"/>
  <c r="AL621" i="1" a="1"/>
  <c r="AL626" i="1" a="1"/>
  <c r="AL632" i="1" a="1"/>
  <c r="AL641" i="1" a="1"/>
  <c r="AL650" i="1" a="1"/>
  <c r="AL659" i="1" a="1"/>
  <c r="AL664" i="1" a="1"/>
  <c r="AL673" i="1" a="1"/>
  <c r="AL682" i="1" a="1"/>
  <c r="AL691" i="1" a="1"/>
  <c r="AL696" i="1" a="1"/>
  <c r="AL705" i="1" a="1"/>
  <c r="AL714" i="1" a="1"/>
  <c r="AL723" i="1" a="1"/>
  <c r="AL728" i="1" a="1"/>
  <c r="AL737" i="1" a="1"/>
  <c r="AL746" i="1" a="1"/>
  <c r="AL755" i="1" a="1"/>
  <c r="AL760" i="1" a="1"/>
  <c r="AL769" i="1" a="1"/>
  <c r="AL778" i="1" a="1"/>
  <c r="AL226" i="1" a="1"/>
  <c r="AL240" i="1" a="1"/>
  <c r="AL276" i="1" a="1"/>
  <c r="AL296" i="1" a="1"/>
  <c r="AL306" i="1" a="1"/>
  <c r="AL315" i="1" a="1"/>
  <c r="AL332" i="1" a="1"/>
  <c r="AL341" i="1" a="1"/>
  <c r="AL354" i="1" a="1"/>
  <c r="AL361" i="1" a="1"/>
  <c r="AL386" i="1" a="1"/>
  <c r="AL393" i="1" a="1"/>
  <c r="AL418" i="1" a="1"/>
  <c r="AL425" i="1" a="1"/>
  <c r="AL450" i="1" a="1"/>
  <c r="AL457" i="1" a="1"/>
  <c r="AL482" i="1" a="1"/>
  <c r="AL489" i="1" a="1"/>
  <c r="AL514" i="1" a="1"/>
  <c r="AL521" i="1" a="1"/>
  <c r="AL546" i="1" a="1"/>
  <c r="AL553" i="1" a="1"/>
  <c r="AL578" i="1" a="1"/>
  <c r="AL637" i="1" a="1"/>
  <c r="AL646" i="1" a="1"/>
  <c r="AL655" i="1" a="1"/>
  <c r="AL660" i="1" a="1"/>
  <c r="AL669" i="1" a="1"/>
  <c r="AL678" i="1" a="1"/>
  <c r="AL687" i="1" a="1"/>
  <c r="AL692" i="1" a="1"/>
  <c r="AL701" i="1" a="1"/>
  <c r="AL710" i="1" a="1"/>
  <c r="AL719" i="1" a="1"/>
  <c r="AL724" i="1" a="1"/>
  <c r="AL733" i="1" a="1"/>
  <c r="AL742" i="1" a="1"/>
  <c r="AL751" i="1" a="1"/>
  <c r="AL756" i="1" a="1"/>
  <c r="AL765" i="1" a="1"/>
  <c r="AL774" i="1" a="1"/>
  <c r="AL217" i="1" a="1"/>
  <c r="AL242" i="1" a="1"/>
  <c r="AL256" i="1" a="1"/>
  <c r="AL265" i="1" a="1"/>
  <c r="AL288" i="1" a="1"/>
  <c r="AL308" i="1" a="1"/>
  <c r="AL316" i="1" a="1"/>
  <c r="AL325" i="1" a="1"/>
  <c r="AL334" i="1" a="1"/>
  <c r="AL349" i="1" a="1"/>
  <c r="AL374" i="1" a="1"/>
  <c r="AL381" i="1" a="1"/>
  <c r="AL406" i="1" a="1"/>
  <c r="AL413" i="1" a="1"/>
  <c r="AL438" i="1" a="1"/>
  <c r="AL445" i="1" a="1"/>
  <c r="AL470" i="1" a="1"/>
  <c r="AL477" i="1" a="1"/>
  <c r="AL502" i="1" a="1"/>
  <c r="AL509" i="1" a="1"/>
  <c r="AL534" i="1" a="1"/>
  <c r="AL541" i="1" a="1"/>
  <c r="AL566" i="1" a="1"/>
  <c r="AL573" i="1" a="1"/>
  <c r="AL585" i="1" a="1"/>
  <c r="AL590" i="1" a="1"/>
  <c r="AL596" i="1" a="1"/>
  <c r="AL601" i="1" a="1"/>
  <c r="AL606" i="1" a="1"/>
  <c r="AL612" i="1" a="1"/>
  <c r="AL617" i="1" a="1"/>
  <c r="AL622" i="1" a="1"/>
  <c r="AL628" i="1" a="1"/>
  <c r="AL633" i="1" a="1"/>
  <c r="AL642" i="1" a="1"/>
  <c r="AL651" i="1" a="1"/>
  <c r="AL656" i="1" a="1"/>
  <c r="AL665" i="1" a="1"/>
  <c r="AL674" i="1" a="1"/>
  <c r="AL683" i="1" a="1"/>
  <c r="AL688" i="1" a="1"/>
  <c r="AL697" i="1" a="1"/>
  <c r="AL706" i="1" a="1"/>
  <c r="AL715" i="1" a="1"/>
  <c r="AL720" i="1" a="1"/>
  <c r="AL729" i="1" a="1"/>
  <c r="AL738" i="1" a="1"/>
  <c r="AL747" i="1" a="1"/>
  <c r="AL752" i="1" a="1"/>
  <c r="AL761" i="1" a="1"/>
  <c r="AL770" i="1" a="1"/>
  <c r="AL194" i="1" a="1"/>
  <c r="AL230" i="1" a="1"/>
  <c r="AL244" i="1" a="1"/>
  <c r="AL277" i="1" a="1"/>
  <c r="AL458" i="1" a="1"/>
  <c r="AL561" i="1" a="1"/>
  <c r="AL647" i="1" a="1"/>
  <c r="AL684" i="1" a="1"/>
  <c r="AL757" i="1" a="1"/>
  <c r="AL297" i="1" a="1"/>
  <c r="AL362" i="1" a="1"/>
  <c r="AL465" i="1" a="1"/>
  <c r="AL652" i="1" a="1"/>
  <c r="AL725" i="1" a="1"/>
  <c r="AL426" i="1" a="1"/>
  <c r="AL369" i="1" a="1"/>
  <c r="AL522" i="1" a="1"/>
  <c r="AL693" i="1" a="1"/>
  <c r="AL766" i="1" a="1"/>
  <c r="AL318" i="1" a="1"/>
  <c r="AL529" i="1" a="1"/>
  <c r="AL661" i="1" a="1"/>
  <c r="AL433" i="1" a="1"/>
  <c r="AL702" i="1" a="1"/>
  <c r="AL775" i="1" a="1"/>
  <c r="AL335" i="1" a="1"/>
  <c r="AL490" i="1" a="1"/>
  <c r="AL670" i="1" a="1"/>
  <c r="AL743" i="1" a="1"/>
  <c r="AL342" i="1" a="1"/>
  <c r="AL394" i="1" a="1"/>
  <c r="AL497" i="1" a="1"/>
  <c r="AL638" i="1" a="1"/>
  <c r="AL711" i="1" a="1"/>
  <c r="AL748" i="1" a="1"/>
  <c r="AL401" i="1" a="1"/>
  <c r="AL554" i="1" a="1"/>
  <c r="AL679" i="1" a="1"/>
  <c r="AL716" i="1" a="1"/>
  <c r="AL2" i="1" a="1"/>
  <c r="Y60" i="1" l="1"/>
  <c r="Y106" i="1"/>
  <c r="Y199" i="1"/>
  <c r="W206" i="1"/>
  <c r="Y226" i="1"/>
  <c r="W233" i="1"/>
  <c r="Y240" i="1"/>
  <c r="Y247" i="1"/>
  <c r="Y273" i="1"/>
  <c r="W297" i="1"/>
  <c r="W327" i="1"/>
  <c r="Y387" i="1"/>
  <c r="Y408" i="1"/>
  <c r="Q421" i="1"/>
  <c r="W479" i="1"/>
  <c r="Y496" i="1"/>
  <c r="Y517" i="1"/>
  <c r="Y587" i="1"/>
  <c r="Q597" i="1"/>
  <c r="Q753" i="1"/>
  <c r="W756" i="1"/>
  <c r="W544" i="1"/>
  <c r="Q591" i="1"/>
  <c r="Q672" i="1"/>
  <c r="W705" i="1"/>
  <c r="Y705" i="1" s="1"/>
  <c r="W770" i="1"/>
  <c r="W773" i="1"/>
  <c r="Y20" i="1"/>
  <c r="W145" i="1"/>
  <c r="W64" i="1"/>
  <c r="W234" i="1"/>
  <c r="Y318" i="1"/>
  <c r="Y451" i="1"/>
  <c r="Q467" i="1"/>
  <c r="Y521" i="1"/>
  <c r="W568" i="1"/>
  <c r="W434" i="1"/>
  <c r="X433" i="1" s="1"/>
  <c r="W467" i="1"/>
  <c r="W521" i="1"/>
  <c r="W525" i="1"/>
  <c r="Y648" i="1"/>
  <c r="Y719" i="1"/>
  <c r="W722" i="1"/>
  <c r="W735" i="1"/>
  <c r="Y735" i="1" s="1"/>
  <c r="W738" i="1"/>
  <c r="Y179" i="1"/>
  <c r="Y204" i="1"/>
  <c r="Y218" i="1"/>
  <c r="W228" i="1"/>
  <c r="Y231" i="1"/>
  <c r="Y242" i="1"/>
  <c r="Y255" i="1"/>
  <c r="W275" i="1"/>
  <c r="Y275" i="1" s="1"/>
  <c r="Q309" i="1"/>
  <c r="W315" i="1"/>
  <c r="Y353" i="1"/>
  <c r="Q440" i="1"/>
  <c r="Y484" i="1"/>
  <c r="Y535" i="1"/>
  <c r="Y559" i="1"/>
  <c r="W616" i="1"/>
  <c r="W658" i="1"/>
  <c r="Y658" i="1" s="1"/>
  <c r="W687" i="1"/>
  <c r="Y687" i="1" s="1"/>
  <c r="W703" i="1"/>
  <c r="Q732" i="1"/>
  <c r="W736" i="1"/>
  <c r="W6" i="1"/>
  <c r="Y6" i="1" s="1"/>
  <c r="Y54" i="1"/>
  <c r="Y148" i="1"/>
  <c r="Y174" i="1"/>
  <c r="W181" i="1"/>
  <c r="Y181" i="1" s="1"/>
  <c r="Y118" i="1"/>
  <c r="Y171" i="1"/>
  <c r="W211" i="1"/>
  <c r="Q255" i="1"/>
  <c r="Y268" i="1"/>
  <c r="Y342" i="1"/>
  <c r="Q392" i="1"/>
  <c r="W18" i="1"/>
  <c r="Q55" i="1"/>
  <c r="W15" i="1"/>
  <c r="Y33" i="1"/>
  <c r="Y65" i="1"/>
  <c r="W429" i="1"/>
  <c r="Y437" i="1"/>
  <c r="Y729" i="1"/>
  <c r="Y732" i="1"/>
  <c r="Y752" i="1"/>
  <c r="Y184" i="1"/>
  <c r="W71" i="1"/>
  <c r="W159" i="1"/>
  <c r="W32" i="1"/>
  <c r="Y64" i="1"/>
  <c r="Y121" i="1"/>
  <c r="Y159" i="1"/>
  <c r="W168" i="1"/>
  <c r="Y345" i="1"/>
  <c r="Y9" i="1"/>
  <c r="Y19" i="1"/>
  <c r="W30" i="1"/>
  <c r="W34" i="1"/>
  <c r="Y50" i="1"/>
  <c r="Y109" i="1"/>
  <c r="W112" i="1"/>
  <c r="Y157" i="1"/>
  <c r="W219" i="1"/>
  <c r="Y223" i="1"/>
  <c r="W293" i="1"/>
  <c r="W316" i="1"/>
  <c r="W326" i="1"/>
  <c r="W337" i="1"/>
  <c r="Y337" i="1" s="1"/>
  <c r="W340" i="1"/>
  <c r="W374" i="1"/>
  <c r="Y380" i="1"/>
  <c r="Y393" i="1"/>
  <c r="Q427" i="1"/>
  <c r="Y441" i="1"/>
  <c r="W453" i="1"/>
  <c r="Q472" i="1"/>
  <c r="W506" i="1"/>
  <c r="Y586" i="1"/>
  <c r="W593" i="1"/>
  <c r="Q613" i="1"/>
  <c r="Y650" i="1"/>
  <c r="W671" i="1"/>
  <c r="Y671" i="1" s="1"/>
  <c r="W684" i="1"/>
  <c r="Y698" i="1"/>
  <c r="AL734" i="1"/>
  <c r="AL716" i="1"/>
  <c r="AL679" i="1"/>
  <c r="AL554" i="1"/>
  <c r="AL401" i="1"/>
  <c r="AL748" i="1"/>
  <c r="AL711" i="1"/>
  <c r="AL638" i="1"/>
  <c r="AL497" i="1"/>
  <c r="AL394" i="1"/>
  <c r="AL342" i="1"/>
  <c r="AL743" i="1"/>
  <c r="AL670" i="1"/>
  <c r="AL490" i="1"/>
  <c r="AL335" i="1"/>
  <c r="AL775" i="1"/>
  <c r="AL702" i="1"/>
  <c r="AL433" i="1"/>
  <c r="AL661" i="1"/>
  <c r="AL529" i="1"/>
  <c r="AL318" i="1"/>
  <c r="AL766" i="1"/>
  <c r="AL693" i="1"/>
  <c r="AL522" i="1"/>
  <c r="AL369" i="1"/>
  <c r="AL426" i="1"/>
  <c r="AL725" i="1"/>
  <c r="AL652" i="1"/>
  <c r="AL465" i="1"/>
  <c r="AL362" i="1"/>
  <c r="AL297" i="1"/>
  <c r="AL757" i="1"/>
  <c r="AL684" i="1"/>
  <c r="AL647" i="1"/>
  <c r="AL561" i="1"/>
  <c r="AL458" i="1"/>
  <c r="AL277" i="1"/>
  <c r="AL244" i="1"/>
  <c r="AL230" i="1"/>
  <c r="AL194" i="1"/>
  <c r="AL770" i="1"/>
  <c r="AL761" i="1"/>
  <c r="AL752" i="1"/>
  <c r="AL747" i="1"/>
  <c r="AL738" i="1"/>
  <c r="AL729" i="1"/>
  <c r="AL720" i="1"/>
  <c r="AL715" i="1"/>
  <c r="AL706" i="1"/>
  <c r="AL697" i="1"/>
  <c r="AL688" i="1"/>
  <c r="AL683" i="1"/>
  <c r="AL674" i="1"/>
  <c r="AL665" i="1"/>
  <c r="AL656" i="1"/>
  <c r="AL651" i="1"/>
  <c r="AL642" i="1"/>
  <c r="AL633" i="1"/>
  <c r="AL628" i="1"/>
  <c r="AL622" i="1"/>
  <c r="AL617" i="1"/>
  <c r="AL612" i="1"/>
  <c r="AL606" i="1"/>
  <c r="AL601" i="1"/>
  <c r="AL596" i="1"/>
  <c r="AL590" i="1"/>
  <c r="AL585" i="1"/>
  <c r="AL573" i="1"/>
  <c r="AL566" i="1"/>
  <c r="AL541" i="1"/>
  <c r="AL534" i="1"/>
  <c r="AL509" i="1"/>
  <c r="AL502" i="1"/>
  <c r="AL477" i="1"/>
  <c r="AL470" i="1"/>
  <c r="AL445" i="1"/>
  <c r="AL438" i="1"/>
  <c r="AL413" i="1"/>
  <c r="AL406" i="1"/>
  <c r="AL381" i="1"/>
  <c r="AL374" i="1"/>
  <c r="AL349" i="1"/>
  <c r="AL334" i="1"/>
  <c r="AL325" i="1"/>
  <c r="AL316" i="1"/>
  <c r="AL308" i="1"/>
  <c r="AL288" i="1"/>
  <c r="AL265" i="1"/>
  <c r="AL256" i="1"/>
  <c r="AL242" i="1"/>
  <c r="AL217" i="1"/>
  <c r="AL774" i="1"/>
  <c r="AL765" i="1"/>
  <c r="AL756" i="1"/>
  <c r="AL751" i="1"/>
  <c r="AL742" i="1"/>
  <c r="AL733" i="1"/>
  <c r="AL724" i="1"/>
  <c r="AL719" i="1"/>
  <c r="AL710" i="1"/>
  <c r="AL701" i="1"/>
  <c r="AL692" i="1"/>
  <c r="AL687" i="1"/>
  <c r="AL678" i="1"/>
  <c r="AL669" i="1"/>
  <c r="AL660" i="1"/>
  <c r="AL655" i="1"/>
  <c r="AL646" i="1"/>
  <c r="AL637" i="1"/>
  <c r="AL578" i="1"/>
  <c r="AL553" i="1"/>
  <c r="AL546" i="1"/>
  <c r="AL521" i="1"/>
  <c r="AL514" i="1"/>
  <c r="AL489" i="1"/>
  <c r="AL482" i="1"/>
  <c r="AL457" i="1"/>
  <c r="AL450" i="1"/>
  <c r="AL425" i="1"/>
  <c r="AL418" i="1"/>
  <c r="AL393" i="1"/>
  <c r="AL386" i="1"/>
  <c r="AL361" i="1"/>
  <c r="AL354" i="1"/>
  <c r="AL341" i="1"/>
  <c r="AL332" i="1"/>
  <c r="AL315" i="1"/>
  <c r="AL306" i="1"/>
  <c r="AL296" i="1"/>
  <c r="AL276" i="1"/>
  <c r="AL240" i="1"/>
  <c r="AL226" i="1"/>
  <c r="AL778" i="1"/>
  <c r="AL769" i="1"/>
  <c r="AL760" i="1"/>
  <c r="AL755" i="1"/>
  <c r="AL746" i="1"/>
  <c r="AL737" i="1"/>
  <c r="AL728" i="1"/>
  <c r="AL723" i="1"/>
  <c r="AL714" i="1"/>
  <c r="AL705" i="1"/>
  <c r="AL696" i="1"/>
  <c r="AL691" i="1"/>
  <c r="AL682" i="1"/>
  <c r="AL673" i="1"/>
  <c r="AL664" i="1"/>
  <c r="AL659" i="1"/>
  <c r="AL650" i="1"/>
  <c r="AL641" i="1"/>
  <c r="AL632" i="1"/>
  <c r="AL626" i="1"/>
  <c r="AL621" i="1"/>
  <c r="AL616" i="1"/>
  <c r="AL610" i="1"/>
  <c r="AL605" i="1"/>
  <c r="AL600" i="1"/>
  <c r="AL594" i="1"/>
  <c r="AL589" i="1"/>
  <c r="AL584" i="1"/>
  <c r="AL565" i="1"/>
  <c r="AL558" i="1"/>
  <c r="AL533" i="1"/>
  <c r="AL526" i="1"/>
  <c r="AL501" i="1"/>
  <c r="AL494" i="1"/>
  <c r="AL469" i="1"/>
  <c r="AL462" i="1"/>
  <c r="AL437" i="1"/>
  <c r="AL430" i="1"/>
  <c r="AL405" i="1"/>
  <c r="AL398" i="1"/>
  <c r="AL373" i="1"/>
  <c r="AL366" i="1"/>
  <c r="AL331" i="1"/>
  <c r="AL324" i="1"/>
  <c r="AL314" i="1"/>
  <c r="AL304" i="1"/>
  <c r="AL294" i="1"/>
  <c r="AL284" i="1"/>
  <c r="AL274" i="1"/>
  <c r="AL264" i="1"/>
  <c r="AL250" i="1"/>
  <c r="AL225" i="1"/>
  <c r="AL773" i="1"/>
  <c r="AL764" i="1"/>
  <c r="AL759" i="1"/>
  <c r="AL750" i="1"/>
  <c r="AL741" i="1"/>
  <c r="AL732" i="1"/>
  <c r="AL727" i="1"/>
  <c r="AL718" i="1"/>
  <c r="AL709" i="1"/>
  <c r="AL700" i="1"/>
  <c r="AL695" i="1"/>
  <c r="AL686" i="1"/>
  <c r="AL677" i="1"/>
  <c r="AL668" i="1"/>
  <c r="AL663" i="1"/>
  <c r="AL654" i="1"/>
  <c r="AL645" i="1"/>
  <c r="AL636" i="1"/>
  <c r="AL577" i="1"/>
  <c r="AL570" i="1"/>
  <c r="AL545" i="1"/>
  <c r="AL538" i="1"/>
  <c r="AL513" i="1"/>
  <c r="AL506" i="1"/>
  <c r="AL481" i="1"/>
  <c r="AL474" i="1"/>
  <c r="AL449" i="1"/>
  <c r="AL442" i="1"/>
  <c r="AL417" i="1"/>
  <c r="AL410" i="1"/>
  <c r="AL385" i="1"/>
  <c r="AL378" i="1"/>
  <c r="AL353" i="1"/>
  <c r="AL346" i="1"/>
  <c r="AL340" i="1"/>
  <c r="AL330" i="1"/>
  <c r="AL321" i="1"/>
  <c r="AL302" i="1"/>
  <c r="AL282" i="1"/>
  <c r="AL272" i="1"/>
  <c r="AL262" i="1"/>
  <c r="AL237" i="1"/>
  <c r="AL210" i="1"/>
  <c r="AL777" i="1"/>
  <c r="AL768" i="1"/>
  <c r="AL763" i="1"/>
  <c r="AL754" i="1"/>
  <c r="AL745" i="1"/>
  <c r="AL736" i="1"/>
  <c r="AL731" i="1"/>
  <c r="AL722" i="1"/>
  <c r="AL713" i="1"/>
  <c r="AL704" i="1"/>
  <c r="AL699" i="1"/>
  <c r="AL690" i="1"/>
  <c r="AL681" i="1"/>
  <c r="AL672" i="1"/>
  <c r="AL667" i="1"/>
  <c r="AL658" i="1"/>
  <c r="AL649" i="1"/>
  <c r="AL640" i="1"/>
  <c r="AL635" i="1"/>
  <c r="AL630" i="1"/>
  <c r="AL625" i="1"/>
  <c r="AL620" i="1"/>
  <c r="AL614" i="1"/>
  <c r="AL609" i="1"/>
  <c r="AL604" i="1"/>
  <c r="AL598" i="1"/>
  <c r="AL593" i="1"/>
  <c r="AL588" i="1"/>
  <c r="AL582" i="1"/>
  <c r="AL557" i="1"/>
  <c r="AL550" i="1"/>
  <c r="AL525" i="1"/>
  <c r="AL518" i="1"/>
  <c r="AL493" i="1"/>
  <c r="AL486" i="1"/>
  <c r="AL461" i="1"/>
  <c r="AL454" i="1"/>
  <c r="AL429" i="1"/>
  <c r="AL422" i="1"/>
  <c r="AL397" i="1"/>
  <c r="AL390" i="1"/>
  <c r="AL365" i="1"/>
  <c r="AL358" i="1"/>
  <c r="AL337" i="1"/>
  <c r="AL313" i="1"/>
  <c r="AL290" i="1"/>
  <c r="AL270" i="1"/>
  <c r="AL249" i="1"/>
  <c r="AL224" i="1"/>
  <c r="AL208" i="1"/>
  <c r="AL772" i="1"/>
  <c r="AL767" i="1"/>
  <c r="AL758" i="1"/>
  <c r="AL749" i="1"/>
  <c r="AL740" i="1"/>
  <c r="AL735" i="1"/>
  <c r="AL726" i="1"/>
  <c r="AL717" i="1"/>
  <c r="AL708" i="1"/>
  <c r="AL703" i="1"/>
  <c r="AL694" i="1"/>
  <c r="AL685" i="1"/>
  <c r="AL676" i="1"/>
  <c r="AL671" i="1"/>
  <c r="AL662" i="1"/>
  <c r="AL653" i="1"/>
  <c r="AL644" i="1"/>
  <c r="AL639" i="1"/>
  <c r="AL569" i="1"/>
  <c r="AL562" i="1"/>
  <c r="AL537" i="1"/>
  <c r="AL530" i="1"/>
  <c r="AL505" i="1"/>
  <c r="AL498" i="1"/>
  <c r="AL473" i="1"/>
  <c r="AL466" i="1"/>
  <c r="AL441" i="1"/>
  <c r="AL434" i="1"/>
  <c r="AL409" i="1"/>
  <c r="AL402" i="1"/>
  <c r="AL377" i="1"/>
  <c r="AL370" i="1"/>
  <c r="AL345" i="1"/>
  <c r="AL329" i="1"/>
  <c r="AL320" i="1"/>
  <c r="AL301" i="1"/>
  <c r="AL281" i="1"/>
  <c r="AL258" i="1"/>
  <c r="AL233" i="1"/>
  <c r="AL776" i="1"/>
  <c r="AL771" i="1"/>
  <c r="AL762" i="1"/>
  <c r="AL753" i="1"/>
  <c r="AL744" i="1"/>
  <c r="AL739" i="1"/>
  <c r="AL730" i="1"/>
  <c r="AL721" i="1"/>
  <c r="AL712" i="1"/>
  <c r="AL707" i="1"/>
  <c r="AL698" i="1"/>
  <c r="AL689" i="1"/>
  <c r="AL680" i="1"/>
  <c r="AL675" i="1"/>
  <c r="AL666" i="1"/>
  <c r="AL657" i="1"/>
  <c r="AL648" i="1"/>
  <c r="AL643" i="1"/>
  <c r="AL634" i="1"/>
  <c r="AL629" i="1"/>
  <c r="AL624" i="1"/>
  <c r="AL618" i="1"/>
  <c r="AL613" i="1"/>
  <c r="AL608" i="1"/>
  <c r="AL602" i="1"/>
  <c r="AL597" i="1"/>
  <c r="AL592" i="1"/>
  <c r="AL586" i="1"/>
  <c r="AL581" i="1"/>
  <c r="AL574" i="1"/>
  <c r="AL549" i="1"/>
  <c r="AL542" i="1"/>
  <c r="AL517" i="1"/>
  <c r="AL510" i="1"/>
  <c r="AL485" i="1"/>
  <c r="AL478" i="1"/>
  <c r="AL453" i="1"/>
  <c r="AL446" i="1"/>
  <c r="AL421" i="1"/>
  <c r="AL414" i="1"/>
  <c r="AL389" i="1"/>
  <c r="AL382" i="1"/>
  <c r="AL357" i="1"/>
  <c r="AL350" i="1"/>
  <c r="AL336" i="1"/>
  <c r="AL326" i="1"/>
  <c r="AL319" i="1"/>
  <c r="AL309" i="1"/>
  <c r="AL289" i="1"/>
  <c r="AL269" i="1"/>
  <c r="AL257" i="1"/>
  <c r="AL232" i="1"/>
  <c r="AL218" i="1"/>
  <c r="AL201" i="1"/>
  <c r="AL252" i="1"/>
  <c r="AL245" i="1"/>
  <c r="AL238" i="1"/>
  <c r="AL220" i="1"/>
  <c r="AL213" i="1"/>
  <c r="AL206" i="1"/>
  <c r="AL188" i="1"/>
  <c r="AL180" i="1"/>
  <c r="AL172" i="1"/>
  <c r="AL164" i="1"/>
  <c r="AL156" i="1"/>
  <c r="AL148" i="1"/>
  <c r="AL140" i="1"/>
  <c r="AL132" i="1"/>
  <c r="AL124" i="1"/>
  <c r="AL116" i="1"/>
  <c r="AL108" i="1"/>
  <c r="AL100" i="1"/>
  <c r="AL92" i="1"/>
  <c r="AL84" i="1"/>
  <c r="AL76" i="1"/>
  <c r="AL68" i="1"/>
  <c r="AL60" i="1"/>
  <c r="AL52" i="1"/>
  <c r="AL44" i="1"/>
  <c r="AL36" i="1"/>
  <c r="AL28" i="1"/>
  <c r="AL20" i="1"/>
  <c r="AL12" i="1"/>
  <c r="AL200" i="1"/>
  <c r="AL193" i="1"/>
  <c r="AL212" i="1"/>
  <c r="AL205" i="1"/>
  <c r="AL198" i="1"/>
  <c r="AL185" i="1"/>
  <c r="AL177" i="1"/>
  <c r="AL169" i="1"/>
  <c r="AL161" i="1"/>
  <c r="AL153" i="1"/>
  <c r="AL145" i="1"/>
  <c r="AL137" i="1"/>
  <c r="AL129" i="1"/>
  <c r="AL121" i="1"/>
  <c r="AL113" i="1"/>
  <c r="AL105" i="1"/>
  <c r="AL97" i="1"/>
  <c r="AL89" i="1"/>
  <c r="AL81" i="1"/>
  <c r="AL73" i="1"/>
  <c r="AL65" i="1"/>
  <c r="AL57" i="1"/>
  <c r="AL49" i="1"/>
  <c r="AL41" i="1"/>
  <c r="AL33" i="1"/>
  <c r="AL25" i="1"/>
  <c r="AL17" i="1"/>
  <c r="AL9" i="1"/>
  <c r="AL192" i="1"/>
  <c r="AL580" i="1"/>
  <c r="AL576" i="1"/>
  <c r="AL572" i="1"/>
  <c r="AL568" i="1"/>
  <c r="AL564" i="1"/>
  <c r="AL560" i="1"/>
  <c r="AL556" i="1"/>
  <c r="AL552" i="1"/>
  <c r="AL548" i="1"/>
  <c r="AL544" i="1"/>
  <c r="AL540" i="1"/>
  <c r="AL536" i="1"/>
  <c r="AL532" i="1"/>
  <c r="AL528" i="1"/>
  <c r="AL524" i="1"/>
  <c r="AL520" i="1"/>
  <c r="AL516" i="1"/>
  <c r="AL512" i="1"/>
  <c r="AL508" i="1"/>
  <c r="AL504" i="1"/>
  <c r="AL500" i="1"/>
  <c r="AL496" i="1"/>
  <c r="AL492" i="1"/>
  <c r="AL488" i="1"/>
  <c r="AL484" i="1"/>
  <c r="AL480" i="1"/>
  <c r="AL476" i="1"/>
  <c r="AL472" i="1"/>
  <c r="AL468" i="1"/>
  <c r="AL464" i="1"/>
  <c r="AL460" i="1"/>
  <c r="AL456" i="1"/>
  <c r="AL452" i="1"/>
  <c r="AL448" i="1"/>
  <c r="AL444" i="1"/>
  <c r="AL440" i="1"/>
  <c r="AL436" i="1"/>
  <c r="AL432" i="1"/>
  <c r="AL428" i="1"/>
  <c r="AL424" i="1"/>
  <c r="AL420" i="1"/>
  <c r="AL416" i="1"/>
  <c r="AL412" i="1"/>
  <c r="AL408" i="1"/>
  <c r="AL404" i="1"/>
  <c r="AL400" i="1"/>
  <c r="AL396" i="1"/>
  <c r="AL392" i="1"/>
  <c r="AL388" i="1"/>
  <c r="AL384" i="1"/>
  <c r="AL380" i="1"/>
  <c r="AL376" i="1"/>
  <c r="AL372" i="1"/>
  <c r="AL368" i="1"/>
  <c r="AL364" i="1"/>
  <c r="AL360" i="1"/>
  <c r="AL356" i="1"/>
  <c r="AL352" i="1"/>
  <c r="AL348" i="1"/>
  <c r="AL344" i="1"/>
  <c r="AL339" i="1"/>
  <c r="AL323" i="1"/>
  <c r="AL300" i="1"/>
  <c r="AL293" i="1"/>
  <c r="AL286" i="1"/>
  <c r="AL268" i="1"/>
  <c r="AL261" i="1"/>
  <c r="AL254" i="1"/>
  <c r="AL236" i="1"/>
  <c r="AL229" i="1"/>
  <c r="AL222" i="1"/>
  <c r="AL204" i="1"/>
  <c r="AL197" i="1"/>
  <c r="AL190" i="1"/>
  <c r="AL184" i="1"/>
  <c r="AL176" i="1"/>
  <c r="AL168" i="1"/>
  <c r="AL160" i="1"/>
  <c r="AL152" i="1"/>
  <c r="AL144" i="1"/>
  <c r="AL136" i="1"/>
  <c r="AL128" i="1"/>
  <c r="AL120" i="1"/>
  <c r="AL112" i="1"/>
  <c r="AL104" i="1"/>
  <c r="AL96" i="1"/>
  <c r="AL88" i="1"/>
  <c r="AL80" i="1"/>
  <c r="AL72" i="1"/>
  <c r="AL64" i="1"/>
  <c r="AL56" i="1"/>
  <c r="AL48" i="1"/>
  <c r="AL40" i="1"/>
  <c r="AL32" i="1"/>
  <c r="AL24" i="1"/>
  <c r="AL16" i="1"/>
  <c r="AL8" i="1"/>
  <c r="AL338" i="1"/>
  <c r="AL333" i="1"/>
  <c r="AL328" i="1"/>
  <c r="AL322" i="1"/>
  <c r="AL317" i="1"/>
  <c r="AL312" i="1"/>
  <c r="AL305" i="1"/>
  <c r="AL298" i="1"/>
  <c r="AL280" i="1"/>
  <c r="AL273" i="1"/>
  <c r="AL266" i="1"/>
  <c r="AL248" i="1"/>
  <c r="AL241" i="1"/>
  <c r="AL234" i="1"/>
  <c r="AL216" i="1"/>
  <c r="AL209" i="1"/>
  <c r="AL202" i="1"/>
  <c r="AL631" i="1"/>
  <c r="AL627" i="1"/>
  <c r="AL623" i="1"/>
  <c r="AL619" i="1"/>
  <c r="AL615" i="1"/>
  <c r="AL611" i="1"/>
  <c r="AL607" i="1"/>
  <c r="AL603" i="1"/>
  <c r="AL599" i="1"/>
  <c r="AL595" i="1"/>
  <c r="AL591" i="1"/>
  <c r="AL587" i="1"/>
  <c r="AL583" i="1"/>
  <c r="AL579" i="1"/>
  <c r="AL575" i="1"/>
  <c r="AL571" i="1"/>
  <c r="AL567" i="1"/>
  <c r="AL563" i="1"/>
  <c r="AL559" i="1"/>
  <c r="AL555" i="1"/>
  <c r="AL551" i="1"/>
  <c r="AL547" i="1"/>
  <c r="AL543" i="1"/>
  <c r="AL539" i="1"/>
  <c r="AL535" i="1"/>
  <c r="AL531" i="1"/>
  <c r="AL527" i="1"/>
  <c r="AL523" i="1"/>
  <c r="AL519" i="1"/>
  <c r="AL515" i="1"/>
  <c r="AL511" i="1"/>
  <c r="AL507" i="1"/>
  <c r="AL503" i="1"/>
  <c r="AL499" i="1"/>
  <c r="AL495" i="1"/>
  <c r="AL491" i="1"/>
  <c r="AL487" i="1"/>
  <c r="AL483" i="1"/>
  <c r="AL479" i="1"/>
  <c r="AL475" i="1"/>
  <c r="AL471" i="1"/>
  <c r="AL467" i="1"/>
  <c r="AL463" i="1"/>
  <c r="AL459" i="1"/>
  <c r="AL455" i="1"/>
  <c r="AL451" i="1"/>
  <c r="AL447" i="1"/>
  <c r="AL443" i="1"/>
  <c r="AL439" i="1"/>
  <c r="AL435" i="1"/>
  <c r="AL431" i="1"/>
  <c r="AL427" i="1"/>
  <c r="AL423" i="1"/>
  <c r="AL419" i="1"/>
  <c r="AL415" i="1"/>
  <c r="AL411" i="1"/>
  <c r="AL407" i="1"/>
  <c r="AL403" i="1"/>
  <c r="AL399" i="1"/>
  <c r="AL395" i="1"/>
  <c r="AL391" i="1"/>
  <c r="AL387" i="1"/>
  <c r="AL383" i="1"/>
  <c r="AL379" i="1"/>
  <c r="AL375" i="1"/>
  <c r="AL371" i="1"/>
  <c r="AL367" i="1"/>
  <c r="AL363" i="1"/>
  <c r="AL359" i="1"/>
  <c r="AL355" i="1"/>
  <c r="AL351" i="1"/>
  <c r="AL347" i="1"/>
  <c r="AL343" i="1"/>
  <c r="AL327" i="1"/>
  <c r="AL310" i="1"/>
  <c r="AL292" i="1"/>
  <c r="AL285" i="1"/>
  <c r="AL278" i="1"/>
  <c r="AL260" i="1"/>
  <c r="AL253" i="1"/>
  <c r="AL246" i="1"/>
  <c r="AL228" i="1"/>
  <c r="AL221" i="1"/>
  <c r="AL214" i="1"/>
  <c r="AL196" i="1"/>
  <c r="AL189" i="1"/>
  <c r="AL181" i="1"/>
  <c r="AL173" i="1"/>
  <c r="AL165" i="1"/>
  <c r="AL157" i="1"/>
  <c r="AL149" i="1"/>
  <c r="AL141" i="1"/>
  <c r="AL133" i="1"/>
  <c r="AL125" i="1"/>
  <c r="AL117" i="1"/>
  <c r="AL109" i="1"/>
  <c r="AL101" i="1"/>
  <c r="AL93" i="1"/>
  <c r="AL85" i="1"/>
  <c r="AL77" i="1"/>
  <c r="AL69" i="1"/>
  <c r="AL61" i="1"/>
  <c r="AL53" i="1"/>
  <c r="AL45" i="1"/>
  <c r="AL37" i="1"/>
  <c r="AL29" i="1"/>
  <c r="AL21" i="1"/>
  <c r="AL13" i="1"/>
  <c r="AL5" i="1"/>
  <c r="AL186" i="1"/>
  <c r="AL182" i="1"/>
  <c r="AL178" i="1"/>
  <c r="AL174" i="1"/>
  <c r="AL170" i="1"/>
  <c r="AL166" i="1"/>
  <c r="AL162" i="1"/>
  <c r="AL158" i="1"/>
  <c r="AL154" i="1"/>
  <c r="AL150" i="1"/>
  <c r="AL146" i="1"/>
  <c r="AL142" i="1"/>
  <c r="AL138" i="1"/>
  <c r="AL134" i="1"/>
  <c r="AL130" i="1"/>
  <c r="AL126" i="1"/>
  <c r="AL122" i="1"/>
  <c r="AL118" i="1"/>
  <c r="AL114" i="1"/>
  <c r="AL110" i="1"/>
  <c r="AL106" i="1"/>
  <c r="AL102" i="1"/>
  <c r="AL98" i="1"/>
  <c r="AL94" i="1"/>
  <c r="AL90" i="1"/>
  <c r="AL86" i="1"/>
  <c r="AL82" i="1"/>
  <c r="AL78" i="1"/>
  <c r="AL74" i="1"/>
  <c r="AL70" i="1"/>
  <c r="AL66" i="1"/>
  <c r="AL62" i="1"/>
  <c r="AL58" i="1"/>
  <c r="AL54" i="1"/>
  <c r="AL50" i="1"/>
  <c r="AL46" i="1"/>
  <c r="AL42" i="1"/>
  <c r="AL38" i="1"/>
  <c r="AL34" i="1"/>
  <c r="AL30" i="1"/>
  <c r="AL26" i="1"/>
  <c r="AL22" i="1"/>
  <c r="AL18" i="1"/>
  <c r="AL14" i="1"/>
  <c r="AL10" i="1"/>
  <c r="AL6" i="1"/>
  <c r="AL4" i="1"/>
  <c r="AL311" i="1"/>
  <c r="AL307" i="1"/>
  <c r="AL303" i="1"/>
  <c r="AL299" i="1"/>
  <c r="AL295" i="1"/>
  <c r="AL291" i="1"/>
  <c r="AL287" i="1"/>
  <c r="AL283" i="1"/>
  <c r="AL279" i="1"/>
  <c r="AL275" i="1"/>
  <c r="AL271" i="1"/>
  <c r="AL267" i="1"/>
  <c r="AL263" i="1"/>
  <c r="AL259" i="1"/>
  <c r="AL255" i="1"/>
  <c r="AL251" i="1"/>
  <c r="AL247" i="1"/>
  <c r="AL243" i="1"/>
  <c r="AL239" i="1"/>
  <c r="AL235" i="1"/>
  <c r="AL231" i="1"/>
  <c r="AL227" i="1"/>
  <c r="AL223" i="1"/>
  <c r="AL219" i="1"/>
  <c r="AL215" i="1"/>
  <c r="AL211" i="1"/>
  <c r="AL207" i="1"/>
  <c r="AL203" i="1"/>
  <c r="AL199" i="1"/>
  <c r="AL195" i="1"/>
  <c r="AL191" i="1"/>
  <c r="AL187" i="1"/>
  <c r="AL183" i="1"/>
  <c r="AL179" i="1"/>
  <c r="AL175" i="1"/>
  <c r="AL171" i="1"/>
  <c r="AL167" i="1"/>
  <c r="AL163" i="1"/>
  <c r="AL159" i="1"/>
  <c r="AL155" i="1"/>
  <c r="AL151" i="1"/>
  <c r="AL147" i="1"/>
  <c r="AL143" i="1"/>
  <c r="AL139" i="1"/>
  <c r="AL135" i="1"/>
  <c r="AL131" i="1"/>
  <c r="AL127" i="1"/>
  <c r="AL123" i="1"/>
  <c r="AL119" i="1"/>
  <c r="AL115" i="1"/>
  <c r="AL111" i="1"/>
  <c r="AL107" i="1"/>
  <c r="AL103" i="1"/>
  <c r="AL99" i="1"/>
  <c r="AL95" i="1"/>
  <c r="AL91" i="1"/>
  <c r="AL87" i="1"/>
  <c r="AL83" i="1"/>
  <c r="AL79" i="1"/>
  <c r="AL75" i="1"/>
  <c r="AL71" i="1"/>
  <c r="AL67" i="1"/>
  <c r="AL63" i="1"/>
  <c r="AL59" i="1"/>
  <c r="AL55" i="1"/>
  <c r="AL51" i="1"/>
  <c r="AL47" i="1"/>
  <c r="AL43" i="1"/>
  <c r="AL39" i="1"/>
  <c r="AL35" i="1"/>
  <c r="AL31" i="1"/>
  <c r="AL27" i="1"/>
  <c r="AL23" i="1"/>
  <c r="AL19" i="1"/>
  <c r="AL15" i="1"/>
  <c r="AL11" i="1"/>
  <c r="AL7" i="1"/>
  <c r="AL3" i="1"/>
  <c r="AL2" i="1"/>
  <c r="W59" i="1"/>
  <c r="Y59" i="1"/>
  <c r="Y150" i="1"/>
  <c r="W150" i="1"/>
  <c r="W23" i="1"/>
  <c r="W50" i="1"/>
  <c r="W84" i="1"/>
  <c r="Y84" i="1"/>
  <c r="Q119" i="1"/>
  <c r="Y332" i="1"/>
  <c r="Y389" i="1"/>
  <c r="Q477" i="1"/>
  <c r="W601" i="1"/>
  <c r="Y611" i="1"/>
  <c r="Q630" i="1"/>
  <c r="Y272" i="1"/>
  <c r="W272" i="1"/>
  <c r="Y383" i="1"/>
  <c r="W407" i="1"/>
  <c r="Y407" i="1"/>
  <c r="Q435" i="1"/>
  <c r="W437" i="1"/>
  <c r="W444" i="1"/>
  <c r="W502" i="1"/>
  <c r="Y502" i="1" s="1"/>
  <c r="Q552" i="1"/>
  <c r="Y107" i="1"/>
  <c r="Y310" i="1"/>
  <c r="Q371" i="1"/>
  <c r="W28" i="1"/>
  <c r="Y68" i="1"/>
  <c r="W86" i="1"/>
  <c r="Q192" i="1"/>
  <c r="W241" i="1"/>
  <c r="W294" i="1"/>
  <c r="Y297" i="1"/>
  <c r="Y361" i="1"/>
  <c r="Q539" i="1"/>
  <c r="W542" i="1"/>
  <c r="Y128" i="1"/>
  <c r="W128" i="1"/>
  <c r="W210" i="1"/>
  <c r="W254" i="1"/>
  <c r="Y254" i="1" s="1"/>
  <c r="Y48" i="1"/>
  <c r="W48" i="1"/>
  <c r="Y82" i="1"/>
  <c r="Y11" i="1"/>
  <c r="Q62" i="1"/>
  <c r="W79" i="1"/>
  <c r="Y129" i="1"/>
  <c r="W149" i="1"/>
  <c r="Y149" i="1"/>
  <c r="Y186" i="1"/>
  <c r="W186" i="1"/>
  <c r="Q433" i="1"/>
  <c r="Y97" i="1"/>
  <c r="W120" i="1"/>
  <c r="Y120" i="1"/>
  <c r="Y374" i="1"/>
  <c r="Y126" i="1"/>
  <c r="W147" i="1"/>
  <c r="Y349" i="1"/>
  <c r="X776" i="1"/>
  <c r="Y5" i="1"/>
  <c r="Y40" i="1"/>
  <c r="Y43" i="1"/>
  <c r="W46" i="1"/>
  <c r="W57" i="1"/>
  <c r="W88" i="1"/>
  <c r="W95" i="1"/>
  <c r="Y124" i="1"/>
  <c r="W139" i="1"/>
  <c r="Q157" i="1"/>
  <c r="W174" i="1"/>
  <c r="W191" i="1"/>
  <c r="Q202" i="1"/>
  <c r="W216" i="1"/>
  <c r="W221" i="1"/>
  <c r="W223" i="1"/>
  <c r="W286" i="1"/>
  <c r="W312" i="1"/>
  <c r="Y328" i="1"/>
  <c r="W334" i="1"/>
  <c r="W341" i="1"/>
  <c r="Y363" i="1"/>
  <c r="W379" i="1"/>
  <c r="Y410" i="1"/>
  <c r="Y434" i="1"/>
  <c r="Q463" i="1"/>
  <c r="Y487" i="1"/>
  <c r="W494" i="1"/>
  <c r="W523" i="1"/>
  <c r="Y551" i="1"/>
  <c r="Q583" i="1"/>
  <c r="W590" i="1"/>
  <c r="Y590" i="1" s="1"/>
  <c r="Y597" i="1"/>
  <c r="Q645" i="1"/>
  <c r="Q667" i="1"/>
  <c r="W677" i="1"/>
  <c r="W707" i="1"/>
  <c r="Q725" i="1"/>
  <c r="Y737" i="1"/>
  <c r="Q740" i="1"/>
  <c r="Y749" i="1"/>
  <c r="Y753" i="1"/>
  <c r="Y672" i="1"/>
  <c r="Q43" i="1"/>
  <c r="Q46" i="1"/>
  <c r="W81" i="1"/>
  <c r="W109" i="1"/>
  <c r="W151" i="1"/>
  <c r="Y155" i="1"/>
  <c r="W247" i="1"/>
  <c r="Y259" i="1"/>
  <c r="W274" i="1"/>
  <c r="Y283" i="1"/>
  <c r="Y313" i="1"/>
  <c r="Y329" i="1"/>
  <c r="Q338" i="1"/>
  <c r="Y341" i="1"/>
  <c r="Y348" i="1"/>
  <c r="Q352" i="1"/>
  <c r="Y397" i="1"/>
  <c r="Y401" i="1"/>
  <c r="Y404" i="1"/>
  <c r="W415" i="1"/>
  <c r="Y418" i="1"/>
  <c r="W443" i="1"/>
  <c r="Y446" i="1"/>
  <c r="W451" i="1"/>
  <c r="Y482" i="1"/>
  <c r="Y494" i="1"/>
  <c r="W498" i="1"/>
  <c r="Y504" i="1"/>
  <c r="W514" i="1"/>
  <c r="Y518" i="1"/>
  <c r="W532" i="1"/>
  <c r="W548" i="1"/>
  <c r="Y574" i="1"/>
  <c r="Y591" i="1"/>
  <c r="W617" i="1"/>
  <c r="Y626" i="1"/>
  <c r="W639" i="1"/>
  <c r="Y661" i="1"/>
  <c r="W664" i="1"/>
  <c r="W680" i="1"/>
  <c r="Y680" i="1" s="1"/>
  <c r="W702" i="1"/>
  <c r="Y714" i="1"/>
  <c r="Q720" i="1"/>
  <c r="W737" i="1"/>
  <c r="X736" i="1" s="1"/>
  <c r="Q744" i="1"/>
  <c r="Y767" i="1"/>
  <c r="W768" i="1"/>
  <c r="W751" i="1"/>
  <c r="W762" i="1"/>
  <c r="W766" i="1"/>
  <c r="W170" i="1"/>
  <c r="W176" i="1"/>
  <c r="W263" i="1"/>
  <c r="W267" i="1"/>
  <c r="Y267" i="1" s="1"/>
  <c r="W281" i="1"/>
  <c r="Y281" i="1" s="1"/>
  <c r="Y295" i="1"/>
  <c r="W304" i="1"/>
  <c r="Y304" i="1" s="1"/>
  <c r="Q402" i="1"/>
  <c r="Y428" i="1"/>
  <c r="W519" i="1"/>
  <c r="Y519" i="1" s="1"/>
  <c r="Y530" i="1"/>
  <c r="W579" i="1"/>
  <c r="W588" i="1"/>
  <c r="Q650" i="1"/>
  <c r="Y688" i="1"/>
  <c r="W721" i="1"/>
  <c r="Y724" i="1"/>
  <c r="W726" i="1"/>
  <c r="W53" i="1"/>
  <c r="Y83" i="1"/>
  <c r="W113" i="1"/>
  <c r="W119" i="1"/>
  <c r="Y140" i="1"/>
  <c r="W143" i="1"/>
  <c r="W156" i="1"/>
  <c r="Y166" i="1"/>
  <c r="Q195" i="1"/>
  <c r="W220" i="1"/>
  <c r="W248" i="1"/>
  <c r="Y251" i="1"/>
  <c r="W261" i="1"/>
  <c r="Y317" i="1"/>
  <c r="Y320" i="1"/>
  <c r="W333" i="1"/>
  <c r="W356" i="1"/>
  <c r="W375" i="1"/>
  <c r="W378" i="1"/>
  <c r="Q431" i="1"/>
  <c r="Y433" i="1"/>
  <c r="W459" i="1"/>
  <c r="W465" i="1"/>
  <c r="W472" i="1"/>
  <c r="W527" i="1"/>
  <c r="W537" i="1"/>
  <c r="Y569" i="1"/>
  <c r="Y595" i="1"/>
  <c r="W602" i="1"/>
  <c r="Y602" i="1" s="1"/>
  <c r="Y644" i="1"/>
  <c r="W647" i="1"/>
  <c r="Y659" i="1"/>
  <c r="Y662" i="1"/>
  <c r="Y678" i="1"/>
  <c r="Y684" i="1"/>
  <c r="Y716" i="1"/>
  <c r="Y721" i="1"/>
  <c r="W724" i="1"/>
  <c r="Y751" i="1"/>
  <c r="W757" i="1"/>
  <c r="Q161" i="1"/>
  <c r="W172" i="1"/>
  <c r="W270" i="1"/>
  <c r="Y277" i="1"/>
  <c r="W288" i="1"/>
  <c r="W339" i="1"/>
  <c r="Y525" i="1"/>
  <c r="W653" i="1"/>
  <c r="W668" i="1"/>
  <c r="Q748" i="1"/>
  <c r="W4" i="1"/>
  <c r="Y25" i="1"/>
  <c r="W36" i="1"/>
  <c r="W45" i="1"/>
  <c r="W51" i="1"/>
  <c r="Y56" i="1"/>
  <c r="Y102" i="1"/>
  <c r="W111" i="1"/>
  <c r="Y113" i="1"/>
  <c r="Y144" i="1"/>
  <c r="Q147" i="1"/>
  <c r="W153" i="1"/>
  <c r="Y164" i="1"/>
  <c r="Y167" i="1"/>
  <c r="Q170" i="1"/>
  <c r="Q176" i="1"/>
  <c r="Y195" i="1"/>
  <c r="Y220" i="1"/>
  <c r="Y249" i="1"/>
  <c r="Y257" i="1"/>
  <c r="W264" i="1"/>
  <c r="W271" i="1"/>
  <c r="Y278" i="1"/>
  <c r="Q282" i="1"/>
  <c r="W289" i="1"/>
  <c r="Y289" i="1" s="1"/>
  <c r="Q315" i="1"/>
  <c r="W321" i="1"/>
  <c r="Y333" i="1"/>
  <c r="Y347" i="1"/>
  <c r="Y354" i="1"/>
  <c r="Y356" i="1"/>
  <c r="Y372" i="1"/>
  <c r="Y378" i="1"/>
  <c r="W385" i="1"/>
  <c r="W400" i="1"/>
  <c r="W420" i="1"/>
  <c r="Y468" i="1"/>
  <c r="W481" i="1"/>
  <c r="Y537" i="1"/>
  <c r="Q556" i="1"/>
  <c r="W570" i="1"/>
  <c r="W592" i="1"/>
  <c r="W615" i="1"/>
  <c r="Y641" i="1"/>
  <c r="W645" i="1"/>
  <c r="Y685" i="1"/>
  <c r="Z684" i="1" s="1"/>
  <c r="Q701" i="1"/>
  <c r="W725" i="1"/>
  <c r="Y733" i="1"/>
  <c r="Z732" i="1" s="1"/>
  <c r="W743" i="1"/>
  <c r="Y743" i="1" s="1"/>
  <c r="W778" i="1"/>
  <c r="Y778" i="1" s="1"/>
  <c r="W292" i="1"/>
  <c r="Y292" i="1"/>
  <c r="W475" i="1"/>
  <c r="Y475" i="1"/>
  <c r="Y578" i="1"/>
  <c r="W578" i="1"/>
  <c r="W594" i="1"/>
  <c r="Y594" i="1"/>
  <c r="W720" i="1"/>
  <c r="Y720" i="1"/>
  <c r="Y17" i="1"/>
  <c r="W20" i="1"/>
  <c r="Y23" i="1"/>
  <c r="Y53" i="1"/>
  <c r="W68" i="1"/>
  <c r="Y78" i="1"/>
  <c r="W90" i="1"/>
  <c r="Y90" i="1" s="1"/>
  <c r="W124" i="1"/>
  <c r="W146" i="1"/>
  <c r="Y146" i="1"/>
  <c r="W164" i="1"/>
  <c r="Y191" i="1"/>
  <c r="Z190" i="1" s="1"/>
  <c r="Y239" i="1"/>
  <c r="W239" i="1"/>
  <c r="W251" i="1"/>
  <c r="Y287" i="1"/>
  <c r="W287" i="1"/>
  <c r="Y314" i="1"/>
  <c r="W391" i="1"/>
  <c r="Y391" i="1" s="1"/>
  <c r="Y423" i="1"/>
  <c r="W423" i="1"/>
  <c r="W526" i="1"/>
  <c r="Y526" i="1" s="1"/>
  <c r="Q572" i="1"/>
  <c r="Y614" i="1"/>
  <c r="W614" i="1"/>
  <c r="W633" i="1"/>
  <c r="Y3" i="1"/>
  <c r="Y27" i="1"/>
  <c r="W27" i="1"/>
  <c r="Y30" i="1"/>
  <c r="Y87" i="1"/>
  <c r="Y116" i="1"/>
  <c r="W116" i="1"/>
  <c r="Y143" i="1"/>
  <c r="W155" i="1"/>
  <c r="Y162" i="1"/>
  <c r="W165" i="1"/>
  <c r="Y165" i="1"/>
  <c r="W215" i="1"/>
  <c r="Y215" i="1"/>
  <c r="Y224" i="1"/>
  <c r="W224" i="1"/>
  <c r="Y243" i="1"/>
  <c r="W283" i="1"/>
  <c r="W311" i="1"/>
  <c r="Y358" i="1"/>
  <c r="W358" i="1"/>
  <c r="Y379" i="1"/>
  <c r="Y457" i="1"/>
  <c r="Y491" i="1"/>
  <c r="W491" i="1"/>
  <c r="W546" i="1"/>
  <c r="Y546" i="1"/>
  <c r="W550" i="1"/>
  <c r="Y130" i="1"/>
  <c r="W130" i="1"/>
  <c r="Y382" i="1"/>
  <c r="W382" i="1"/>
  <c r="Y534" i="1"/>
  <c r="W534" i="1"/>
  <c r="Y741" i="1"/>
  <c r="W741" i="1"/>
  <c r="Y776" i="1"/>
  <c r="Y51" i="1"/>
  <c r="W117" i="1"/>
  <c r="Y117" i="1"/>
  <c r="Y508" i="1"/>
  <c r="W508" i="1"/>
  <c r="Y599" i="1"/>
  <c r="W599" i="1"/>
  <c r="Y13" i="1"/>
  <c r="W13" i="1"/>
  <c r="W35" i="1"/>
  <c r="Y38" i="1"/>
  <c r="Y57" i="1"/>
  <c r="W82" i="1"/>
  <c r="W85" i="1"/>
  <c r="Y95" i="1"/>
  <c r="Y114" i="1"/>
  <c r="Y119" i="1"/>
  <c r="Y131" i="1"/>
  <c r="Y135" i="1"/>
  <c r="Q139" i="1"/>
  <c r="Y168" i="1"/>
  <c r="W190" i="1"/>
  <c r="X190" i="1" s="1"/>
  <c r="W192" i="1"/>
  <c r="W226" i="1"/>
  <c r="Y229" i="1"/>
  <c r="W231" i="1"/>
  <c r="X230" i="1" s="1"/>
  <c r="W238" i="1"/>
  <c r="Y262" i="1"/>
  <c r="Y325" i="1"/>
  <c r="W325" i="1"/>
  <c r="Y346" i="1"/>
  <c r="Y366" i="1"/>
  <c r="W366" i="1"/>
  <c r="W398" i="1"/>
  <c r="Y398" i="1"/>
  <c r="Y425" i="1"/>
  <c r="W425" i="1"/>
  <c r="Y532" i="1"/>
  <c r="Q603" i="1"/>
  <c r="W676" i="1"/>
  <c r="Y676" i="1" s="1"/>
  <c r="Y739" i="1"/>
  <c r="W739" i="1"/>
  <c r="Y760" i="1"/>
  <c r="W760" i="1"/>
  <c r="W246" i="1"/>
  <c r="Y246" i="1"/>
  <c r="Y296" i="1"/>
  <c r="W296" i="1"/>
  <c r="W305" i="1"/>
  <c r="Y424" i="1"/>
  <c r="W424" i="1"/>
  <c r="Y4" i="1"/>
  <c r="Y88" i="1"/>
  <c r="Y122" i="1"/>
  <c r="W122" i="1"/>
  <c r="W142" i="1"/>
  <c r="Y142" i="1"/>
  <c r="Y153" i="1"/>
  <c r="W173" i="1"/>
  <c r="Y187" i="1"/>
  <c r="Q190" i="1"/>
  <c r="W199" i="1"/>
  <c r="Q268" i="1"/>
  <c r="Y427" i="1"/>
  <c r="W427" i="1"/>
  <c r="Y544" i="1"/>
  <c r="Y774" i="1"/>
  <c r="Y22" i="1"/>
  <c r="Y61" i="1"/>
  <c r="W61" i="1"/>
  <c r="W99" i="1"/>
  <c r="Y99" i="1"/>
  <c r="Y123" i="1"/>
  <c r="W123" i="1"/>
  <c r="W126" i="1"/>
  <c r="W177" i="1"/>
  <c r="Y177" i="1"/>
  <c r="W188" i="1"/>
  <c r="Y188" i="1"/>
  <c r="Y197" i="1"/>
  <c r="W197" i="1"/>
  <c r="Y235" i="1"/>
  <c r="W235" i="1"/>
  <c r="Y250" i="1"/>
  <c r="W250" i="1"/>
  <c r="Y266" i="1"/>
  <c r="W266" i="1"/>
  <c r="W291" i="1"/>
  <c r="Y300" i="1"/>
  <c r="W300" i="1"/>
  <c r="Y319" i="1"/>
  <c r="Y326" i="1"/>
  <c r="Y480" i="1"/>
  <c r="W480" i="1"/>
  <c r="W485" i="1"/>
  <c r="Y485" i="1"/>
  <c r="Y603" i="1"/>
  <c r="W603" i="1"/>
  <c r="W670" i="1"/>
  <c r="Y670" i="1"/>
  <c r="Y754" i="1"/>
  <c r="W754" i="1"/>
  <c r="Y201" i="1"/>
  <c r="W201" i="1"/>
  <c r="W66" i="1"/>
  <c r="Y66" i="1"/>
  <c r="Y105" i="1"/>
  <c r="W105" i="1"/>
  <c r="Y675" i="1"/>
  <c r="W675" i="1"/>
  <c r="W91" i="1"/>
  <c r="Y91" i="1"/>
  <c r="Y225" i="1"/>
  <c r="W225" i="1"/>
  <c r="Y271" i="1"/>
  <c r="Y365" i="1"/>
  <c r="W365" i="1"/>
  <c r="W371" i="1"/>
  <c r="Y547" i="1"/>
  <c r="W547" i="1"/>
  <c r="Y682" i="1"/>
  <c r="Y772" i="1"/>
  <c r="W772" i="1"/>
  <c r="W2" i="1"/>
  <c r="W14" i="1"/>
  <c r="Y14" i="1" s="1"/>
  <c r="Y16" i="1"/>
  <c r="W26" i="1"/>
  <c r="Y32" i="1"/>
  <c r="W55" i="1"/>
  <c r="Y58" i="1"/>
  <c r="W118" i="1"/>
  <c r="W129" i="1"/>
  <c r="Y145" i="1"/>
  <c r="W157" i="1"/>
  <c r="W169" i="1"/>
  <c r="Y169" i="1"/>
  <c r="Y193" i="1"/>
  <c r="Z192" i="1" s="1"/>
  <c r="Y210" i="1"/>
  <c r="W331" i="1"/>
  <c r="Y331" i="1"/>
  <c r="Q366" i="1"/>
  <c r="W384" i="1"/>
  <c r="Y384" i="1"/>
  <c r="Y399" i="1"/>
  <c r="W399" i="1"/>
  <c r="W402" i="1"/>
  <c r="Y402" i="1"/>
  <c r="W406" i="1"/>
  <c r="Y448" i="1"/>
  <c r="Y462" i="1"/>
  <c r="W462" i="1"/>
  <c r="W520" i="1"/>
  <c r="Y522" i="1"/>
  <c r="W522" i="1"/>
  <c r="W530" i="1"/>
  <c r="Y564" i="1"/>
  <c r="W564" i="1"/>
  <c r="W649" i="1"/>
  <c r="Y649" i="1"/>
  <c r="Y652" i="1"/>
  <c r="W655" i="1"/>
  <c r="Y655" i="1" s="1"/>
  <c r="Y728" i="1"/>
  <c r="W728" i="1"/>
  <c r="W31" i="1"/>
  <c r="Y34" i="1"/>
  <c r="Y37" i="1"/>
  <c r="Y45" i="1"/>
  <c r="W52" i="1"/>
  <c r="W74" i="1"/>
  <c r="W77" i="1"/>
  <c r="W80" i="1"/>
  <c r="Y89" i="1"/>
  <c r="W101" i="1"/>
  <c r="W104" i="1"/>
  <c r="W107" i="1"/>
  <c r="W110" i="1"/>
  <c r="W115" i="1"/>
  <c r="Q143" i="1"/>
  <c r="Y152" i="1"/>
  <c r="Y161" i="1"/>
  <c r="Q166" i="1"/>
  <c r="W175" i="1"/>
  <c r="Y175" i="1" s="1"/>
  <c r="W184" i="1"/>
  <c r="Y196" i="1"/>
  <c r="W204" i="1"/>
  <c r="W207" i="1"/>
  <c r="Y207" i="1" s="1"/>
  <c r="W209" i="1"/>
  <c r="Y237" i="1"/>
  <c r="Q245" i="1"/>
  <c r="Y258" i="1"/>
  <c r="W268" i="1"/>
  <c r="Y279" i="1"/>
  <c r="Q299" i="1"/>
  <c r="Y302" i="1"/>
  <c r="W313" i="1"/>
  <c r="Y316" i="1"/>
  <c r="Y321" i="1"/>
  <c r="W324" i="1"/>
  <c r="Q429" i="1"/>
  <c r="Y549" i="1"/>
  <c r="W549" i="1"/>
  <c r="Y555" i="1"/>
  <c r="W571" i="1"/>
  <c r="Y571" i="1"/>
  <c r="Y580" i="1"/>
  <c r="Y612" i="1"/>
  <c r="W636" i="1"/>
  <c r="W651" i="1"/>
  <c r="Y651" i="1"/>
  <c r="Y663" i="1"/>
  <c r="Y690" i="1"/>
  <c r="W690" i="1"/>
  <c r="W7" i="1"/>
  <c r="W10" i="1"/>
  <c r="Y18" i="1"/>
  <c r="Y21" i="1"/>
  <c r="Y24" i="1"/>
  <c r="Q36" i="1"/>
  <c r="Y41" i="1"/>
  <c r="W49" i="1"/>
  <c r="W93" i="1"/>
  <c r="W102" i="1"/>
  <c r="Y127" i="1"/>
  <c r="Y139" i="1"/>
  <c r="W144" i="1"/>
  <c r="X143" i="1" s="1"/>
  <c r="Y160" i="1"/>
  <c r="W167" i="1"/>
  <c r="Y176" i="1"/>
  <c r="W179" i="1"/>
  <c r="Y200" i="1"/>
  <c r="Y202" i="1"/>
  <c r="W232" i="1"/>
  <c r="Y241" i="1"/>
  <c r="Q249" i="1"/>
  <c r="W260" i="1"/>
  <c r="Y260" i="1" s="1"/>
  <c r="Q290" i="1"/>
  <c r="Q295" i="1"/>
  <c r="W394" i="1"/>
  <c r="Y400" i="1"/>
  <c r="W412" i="1"/>
  <c r="Y412" i="1"/>
  <c r="W431" i="1"/>
  <c r="Y444" i="1"/>
  <c r="Y478" i="1"/>
  <c r="W478" i="1"/>
  <c r="Y483" i="1"/>
  <c r="Z482" i="1" s="1"/>
  <c r="W483" i="1"/>
  <c r="Y489" i="1"/>
  <c r="Q492" i="1"/>
  <c r="W518" i="1"/>
  <c r="Y528" i="1"/>
  <c r="W528" i="1"/>
  <c r="W597" i="1"/>
  <c r="Y621" i="1"/>
  <c r="Y631" i="1"/>
  <c r="W631" i="1"/>
  <c r="Y673" i="1"/>
  <c r="Y718" i="1"/>
  <c r="Z717" i="1" s="1"/>
  <c r="W723" i="1"/>
  <c r="Y723" i="1"/>
  <c r="Y208" i="1"/>
  <c r="W217" i="1"/>
  <c r="Y298" i="1"/>
  <c r="Z295" i="1" s="1"/>
  <c r="W317" i="1"/>
  <c r="Q320" i="1"/>
  <c r="Y323" i="1"/>
  <c r="W336" i="1"/>
  <c r="W338" i="1"/>
  <c r="W351" i="1"/>
  <c r="Y351" i="1" s="1"/>
  <c r="Q380" i="1"/>
  <c r="Y447" i="1"/>
  <c r="W447" i="1"/>
  <c r="W515" i="1"/>
  <c r="Y515" i="1"/>
  <c r="W637" i="1"/>
  <c r="Y637" i="1"/>
  <c r="W673" i="1"/>
  <c r="Y686" i="1"/>
  <c r="W686" i="1"/>
  <c r="W701" i="1"/>
  <c r="Y709" i="1"/>
  <c r="W709" i="1"/>
  <c r="Q766" i="1"/>
  <c r="Y769" i="1"/>
  <c r="Q772" i="1"/>
  <c r="W25" i="1"/>
  <c r="Y39" i="1"/>
  <c r="Y44" i="1"/>
  <c r="W47" i="1"/>
  <c r="Y62" i="1"/>
  <c r="W73" i="1"/>
  <c r="Y76" i="1"/>
  <c r="Y79" i="1"/>
  <c r="W97" i="1"/>
  <c r="W106" i="1"/>
  <c r="Q112" i="1"/>
  <c r="Y125" i="1"/>
  <c r="Q130" i="1"/>
  <c r="Y133" i="1"/>
  <c r="Y137" i="1"/>
  <c r="W140" i="1"/>
  <c r="Y154" i="1"/>
  <c r="Y156" i="1"/>
  <c r="Y158" i="1"/>
  <c r="W194" i="1"/>
  <c r="X192" i="1" s="1"/>
  <c r="Y198" i="1"/>
  <c r="Y206" i="1"/>
  <c r="W208" i="1"/>
  <c r="Y217" i="1"/>
  <c r="Y228" i="1"/>
  <c r="Y230" i="1"/>
  <c r="Y233" i="1"/>
  <c r="Q239" i="1"/>
  <c r="Y252" i="1"/>
  <c r="Q261" i="1"/>
  <c r="Y264" i="1"/>
  <c r="Y270" i="1"/>
  <c r="Y274" i="1"/>
  <c r="W282" i="1"/>
  <c r="W284" i="1"/>
  <c r="W299" i="1"/>
  <c r="W301" i="1"/>
  <c r="W318" i="1"/>
  <c r="W323" i="1"/>
  <c r="Q331" i="1"/>
  <c r="Y336" i="1"/>
  <c r="Y339" i="1"/>
  <c r="Q344" i="1"/>
  <c r="W359" i="1"/>
  <c r="Y359" i="1" s="1"/>
  <c r="W361" i="1"/>
  <c r="W370" i="1"/>
  <c r="Y370" i="1" s="1"/>
  <c r="Y376" i="1"/>
  <c r="Y403" i="1"/>
  <c r="W416" i="1"/>
  <c r="Y416" i="1"/>
  <c r="Y470" i="1"/>
  <c r="W470" i="1"/>
  <c r="W484" i="1"/>
  <c r="Y499" i="1"/>
  <c r="W499" i="1"/>
  <c r="W524" i="1"/>
  <c r="W539" i="1"/>
  <c r="Y552" i="1"/>
  <c r="W567" i="1"/>
  <c r="Y567" i="1"/>
  <c r="W595" i="1"/>
  <c r="Y635" i="1"/>
  <c r="W635" i="1"/>
  <c r="W641" i="1"/>
  <c r="Y647" i="1"/>
  <c r="W656" i="1"/>
  <c r="Y656" i="1"/>
  <c r="W666" i="1"/>
  <c r="Y666" i="1" s="1"/>
  <c r="Y668" i="1"/>
  <c r="Y699" i="1"/>
  <c r="Y701" i="1"/>
  <c r="W704" i="1"/>
  <c r="Y704" i="1"/>
  <c r="W380" i="1"/>
  <c r="Y414" i="1"/>
  <c r="Y429" i="1"/>
  <c r="Z429" i="1" s="1"/>
  <c r="Y435" i="1"/>
  <c r="Q437" i="1"/>
  <c r="Q456" i="1"/>
  <c r="Y459" i="1"/>
  <c r="Y497" i="1"/>
  <c r="Y514" i="1"/>
  <c r="W517" i="1"/>
  <c r="Q534" i="1"/>
  <c r="W557" i="1"/>
  <c r="Y566" i="1"/>
  <c r="Y579" i="1"/>
  <c r="W586" i="1"/>
  <c r="Y589" i="1"/>
  <c r="Q608" i="1"/>
  <c r="W611" i="1"/>
  <c r="Y616" i="1"/>
  <c r="Y618" i="1"/>
  <c r="Q621" i="1"/>
  <c r="Y627" i="1"/>
  <c r="Y646" i="1"/>
  <c r="Y654" i="1"/>
  <c r="Q662" i="1"/>
  <c r="Y665" i="1"/>
  <c r="Y695" i="1"/>
  <c r="W698" i="1"/>
  <c r="Y703" i="1"/>
  <c r="Y711" i="1"/>
  <c r="Q717" i="1"/>
  <c r="Y722" i="1"/>
  <c r="Y738" i="1"/>
  <c r="Y757" i="1"/>
  <c r="W765" i="1"/>
  <c r="Y765" i="1" s="1"/>
  <c r="W771" i="1"/>
  <c r="Y771" i="1" s="1"/>
  <c r="Y773" i="1"/>
  <c r="Q776" i="1"/>
  <c r="W320" i="1"/>
  <c r="W332" i="1"/>
  <c r="Y340" i="1"/>
  <c r="W343" i="1"/>
  <c r="Y343" i="1" s="1"/>
  <c r="Y355" i="1"/>
  <c r="Y415" i="1"/>
  <c r="W432" i="1"/>
  <c r="X431" i="1" s="1"/>
  <c r="W436" i="1"/>
  <c r="Y438" i="1"/>
  <c r="W441" i="1"/>
  <c r="Y445" i="1"/>
  <c r="W455" i="1"/>
  <c r="Y467" i="1"/>
  <c r="Y476" i="1"/>
  <c r="Y492" i="1"/>
  <c r="Y498" i="1"/>
  <c r="Y501" i="1"/>
  <c r="Y506" i="1"/>
  <c r="W535" i="1"/>
  <c r="W540" i="1"/>
  <c r="Q545" i="1"/>
  <c r="W559" i="1"/>
  <c r="Y570" i="1"/>
  <c r="W572" i="1"/>
  <c r="Y593" i="1"/>
  <c r="Y601" i="1"/>
  <c r="W607" i="1"/>
  <c r="Y607" i="1" s="1"/>
  <c r="Y629" i="1"/>
  <c r="W634" i="1"/>
  <c r="Y639" i="1"/>
  <c r="W650" i="1"/>
  <c r="Y669" i="1"/>
  <c r="W672" i="1"/>
  <c r="W683" i="1"/>
  <c r="W685" i="1"/>
  <c r="Y693" i="1"/>
  <c r="W700" i="1"/>
  <c r="Y706" i="1"/>
  <c r="W719" i="1"/>
  <c r="Y725" i="1"/>
  <c r="W731" i="1"/>
  <c r="Y731" i="1" s="1"/>
  <c r="W734" i="1"/>
  <c r="Y750" i="1"/>
  <c r="W755" i="1"/>
  <c r="Q758" i="1"/>
  <c r="Y763" i="1"/>
  <c r="Y777" i="1"/>
  <c r="Y409" i="1"/>
  <c r="Y463" i="1"/>
  <c r="W482" i="1"/>
  <c r="Y563" i="1"/>
  <c r="Q688" i="1"/>
  <c r="Y712" i="1"/>
  <c r="W732" i="1"/>
  <c r="Y744" i="1"/>
  <c r="Y758" i="1"/>
  <c r="Y775" i="1"/>
  <c r="Q377" i="1"/>
  <c r="W395" i="1"/>
  <c r="Y395" i="1" s="1"/>
  <c r="W404" i="1"/>
  <c r="Y419" i="1"/>
  <c r="Y426" i="1"/>
  <c r="Y442" i="1"/>
  <c r="W450" i="1"/>
  <c r="W458" i="1"/>
  <c r="W468" i="1"/>
  <c r="W471" i="1"/>
  <c r="Y471" i="1" s="1"/>
  <c r="Y473" i="1"/>
  <c r="W487" i="1"/>
  <c r="Y493" i="1"/>
  <c r="W496" i="1"/>
  <c r="Y510" i="1"/>
  <c r="W513" i="1"/>
  <c r="W516" i="1"/>
  <c r="Y531" i="1"/>
  <c r="W551" i="1"/>
  <c r="W553" i="1"/>
  <c r="Y568" i="1"/>
  <c r="Y576" i="1"/>
  <c r="Q579" i="1"/>
  <c r="Y582" i="1"/>
  <c r="Y585" i="1"/>
  <c r="Y588" i="1"/>
  <c r="W591" i="1"/>
  <c r="Y596" i="1"/>
  <c r="Y610" i="1"/>
  <c r="Y615" i="1"/>
  <c r="Y617" i="1"/>
  <c r="W620" i="1"/>
  <c r="W626" i="1"/>
  <c r="W632" i="1"/>
  <c r="Q637" i="1"/>
  <c r="Y642" i="1"/>
  <c r="Y653" i="1"/>
  <c r="Q656" i="1"/>
  <c r="W662" i="1"/>
  <c r="Y664" i="1"/>
  <c r="W667" i="1"/>
  <c r="W681" i="1"/>
  <c r="W688" i="1"/>
  <c r="Q691" i="1"/>
  <c r="W717" i="1"/>
  <c r="Q729" i="1"/>
  <c r="Y36" i="1"/>
  <c r="Y70" i="1"/>
  <c r="W70" i="1"/>
  <c r="Y134" i="1"/>
  <c r="W134" i="1"/>
  <c r="Y138" i="1"/>
  <c r="W138" i="1"/>
  <c r="Y185" i="1"/>
  <c r="W185" i="1"/>
  <c r="Y205" i="1"/>
  <c r="W205" i="1"/>
  <c r="Y256" i="1"/>
  <c r="W256" i="1"/>
  <c r="Y390" i="1"/>
  <c r="W390" i="1"/>
  <c r="W33" i="1"/>
  <c r="Y35" i="1"/>
  <c r="Y46" i="1"/>
  <c r="W54" i="1"/>
  <c r="Y67" i="1"/>
  <c r="Y75" i="1"/>
  <c r="W75" i="1"/>
  <c r="Y85" i="1"/>
  <c r="W87" i="1"/>
  <c r="W100" i="1"/>
  <c r="Y100" i="1" s="1"/>
  <c r="Y110" i="1"/>
  <c r="Y112" i="1"/>
  <c r="Y141" i="1"/>
  <c r="Z139" i="1" s="1"/>
  <c r="W141" i="1"/>
  <c r="Z157" i="1"/>
  <c r="W303" i="1"/>
  <c r="Y303" i="1"/>
  <c r="Y422" i="1"/>
  <c r="W422" i="1"/>
  <c r="Y529" i="1"/>
  <c r="W529" i="1"/>
  <c r="W236" i="1"/>
  <c r="Y236" i="1"/>
  <c r="Y227" i="1"/>
  <c r="W227" i="1"/>
  <c r="W269" i="1"/>
  <c r="Y269" i="1"/>
  <c r="W22" i="1"/>
  <c r="W29" i="1"/>
  <c r="Q51" i="1"/>
  <c r="Y63" i="1"/>
  <c r="Z62" i="1" s="1"/>
  <c r="W127" i="1"/>
  <c r="W154" i="1"/>
  <c r="W160" i="1"/>
  <c r="Y183" i="1"/>
  <c r="W183" i="1"/>
  <c r="Y203" i="1"/>
  <c r="Z202" i="1" s="1"/>
  <c r="W203" i="1"/>
  <c r="W3" i="1"/>
  <c r="W5" i="1"/>
  <c r="Y10" i="1"/>
  <c r="W12" i="1"/>
  <c r="W17" i="1"/>
  <c r="W19" i="1"/>
  <c r="W21" i="1"/>
  <c r="Y26" i="1"/>
  <c r="Q28" i="1"/>
  <c r="Y29" i="1"/>
  <c r="W37" i="1"/>
  <c r="W39" i="1"/>
  <c r="W41" i="1"/>
  <c r="W44" i="1"/>
  <c r="Y47" i="1"/>
  <c r="W56" i="1"/>
  <c r="W58" i="1"/>
  <c r="W60" i="1"/>
  <c r="W63" i="1"/>
  <c r="Y71" i="1"/>
  <c r="Y74" i="1"/>
  <c r="W78" i="1"/>
  <c r="Y80" i="1"/>
  <c r="Y98" i="1"/>
  <c r="W98" i="1"/>
  <c r="Y108" i="1"/>
  <c r="Y111" i="1"/>
  <c r="W125" i="1"/>
  <c r="Y132" i="1"/>
  <c r="W132" i="1"/>
  <c r="Y136" i="1"/>
  <c r="W136" i="1"/>
  <c r="W152" i="1"/>
  <c r="W158" i="1"/>
  <c r="Y180" i="1"/>
  <c r="W180" i="1"/>
  <c r="Y253" i="1"/>
  <c r="W253" i="1"/>
  <c r="Y94" i="1"/>
  <c r="W94" i="1"/>
  <c r="W322" i="1"/>
  <c r="Y322" i="1"/>
  <c r="Y335" i="1"/>
  <c r="W335" i="1"/>
  <c r="Y417" i="1"/>
  <c r="W417" i="1"/>
  <c r="Y31" i="1"/>
  <c r="Y49" i="1"/>
  <c r="W65" i="1"/>
  <c r="W69" i="1"/>
  <c r="W83" i="1"/>
  <c r="Y103" i="1"/>
  <c r="W103" i="1"/>
  <c r="W9" i="1"/>
  <c r="Y163" i="1"/>
  <c r="W163" i="1"/>
  <c r="Y285" i="1"/>
  <c r="W285" i="1"/>
  <c r="Y350" i="1"/>
  <c r="W350" i="1"/>
  <c r="Y52" i="1"/>
  <c r="Y92" i="1"/>
  <c r="W92" i="1"/>
  <c r="W43" i="1"/>
  <c r="W62" i="1"/>
  <c r="Y72" i="1"/>
  <c r="Q102" i="1"/>
  <c r="Y104" i="1"/>
  <c r="W121" i="1"/>
  <c r="W148" i="1"/>
  <c r="X155" i="1"/>
  <c r="W171" i="1"/>
  <c r="Y245" i="1"/>
  <c r="W245" i="1"/>
  <c r="Y430" i="1"/>
  <c r="W430" i="1"/>
  <c r="X429" i="1" s="1"/>
  <c r="Y96" i="1"/>
  <c r="W96" i="1"/>
  <c r="Y178" i="1"/>
  <c r="W178" i="1"/>
  <c r="W265" i="1"/>
  <c r="Y265" i="1"/>
  <c r="W243" i="1"/>
  <c r="W259" i="1"/>
  <c r="W295" i="1"/>
  <c r="Y305" i="1"/>
  <c r="Z305" i="1" s="1"/>
  <c r="W307" i="1"/>
  <c r="Y338" i="1"/>
  <c r="Y344" i="1"/>
  <c r="W347" i="1"/>
  <c r="Y364" i="1"/>
  <c r="W364" i="1"/>
  <c r="W373" i="1"/>
  <c r="Q415" i="1"/>
  <c r="Y449" i="1"/>
  <c r="Z448" i="1" s="1"/>
  <c r="W449" i="1"/>
  <c r="W72" i="1"/>
  <c r="Y261" i="1"/>
  <c r="Y299" i="1"/>
  <c r="Y309" i="1"/>
  <c r="W309" i="1"/>
  <c r="Y369" i="1"/>
  <c r="W369" i="1"/>
  <c r="Y464" i="1"/>
  <c r="W464" i="1"/>
  <c r="Y500" i="1"/>
  <c r="W500" i="1"/>
  <c r="Y505" i="1"/>
  <c r="W505" i="1"/>
  <c r="W202" i="1"/>
  <c r="Y211" i="1"/>
  <c r="Y214" i="1"/>
  <c r="Y234" i="1"/>
  <c r="W244" i="1"/>
  <c r="Y244" i="1" s="1"/>
  <c r="W249" i="1"/>
  <c r="W257" i="1"/>
  <c r="Y263" i="1"/>
  <c r="W273" i="1"/>
  <c r="X272" i="1" s="1"/>
  <c r="W279" i="1"/>
  <c r="Y288" i="1"/>
  <c r="Y290" i="1"/>
  <c r="W290" i="1"/>
  <c r="Y294" i="1"/>
  <c r="Y301" i="1"/>
  <c r="Y311" i="1"/>
  <c r="W319" i="1"/>
  <c r="X315" i="1" s="1"/>
  <c r="W345" i="1"/>
  <c r="W352" i="1"/>
  <c r="Y352" i="1"/>
  <c r="Y357" i="1"/>
  <c r="W357" i="1"/>
  <c r="Y486" i="1"/>
  <c r="W486" i="1"/>
  <c r="W182" i="1"/>
  <c r="Y388" i="1"/>
  <c r="W388" i="1"/>
  <c r="Y405" i="1"/>
  <c r="W405" i="1"/>
  <c r="W460" i="1"/>
  <c r="Y460" i="1"/>
  <c r="Y509" i="1"/>
  <c r="W509" i="1"/>
  <c r="Y512" i="1"/>
  <c r="W512" i="1"/>
  <c r="Y575" i="1"/>
  <c r="W575" i="1"/>
  <c r="W131" i="1"/>
  <c r="W133" i="1"/>
  <c r="W135" i="1"/>
  <c r="W137" i="1"/>
  <c r="W162" i="1"/>
  <c r="Y209" i="1"/>
  <c r="Y212" i="1"/>
  <c r="Y232" i="1"/>
  <c r="W242" i="1"/>
  <c r="Y248" i="1"/>
  <c r="W277" i="1"/>
  <c r="W280" i="1"/>
  <c r="Y286" i="1"/>
  <c r="W298" i="1"/>
  <c r="W308" i="1"/>
  <c r="Y315" i="1"/>
  <c r="W330" i="1"/>
  <c r="Y330" i="1" s="1"/>
  <c r="Z326" i="1" s="1"/>
  <c r="W348" i="1"/>
  <c r="W377" i="1"/>
  <c r="Y377" i="1"/>
  <c r="Z377" i="1" s="1"/>
  <c r="Q386" i="1"/>
  <c r="W401" i="1"/>
  <c r="W410" i="1"/>
  <c r="Y461" i="1"/>
  <c r="W461" i="1"/>
  <c r="Y490" i="1"/>
  <c r="W490" i="1"/>
  <c r="Y533" i="1"/>
  <c r="W533" i="1"/>
  <c r="Y543" i="1"/>
  <c r="W543" i="1"/>
  <c r="Y367" i="1"/>
  <c r="W367" i="1"/>
  <c r="Y386" i="1"/>
  <c r="W386" i="1"/>
  <c r="Y392" i="1"/>
  <c r="Z392" i="1" s="1"/>
  <c r="W392" i="1"/>
  <c r="W419" i="1"/>
  <c r="Y456" i="1"/>
  <c r="W456" i="1"/>
  <c r="Y466" i="1"/>
  <c r="W466" i="1"/>
  <c r="Y238" i="1"/>
  <c r="W240" i="1"/>
  <c r="W252" i="1"/>
  <c r="W258" i="1"/>
  <c r="Y276" i="1"/>
  <c r="W278" i="1"/>
  <c r="Y284" i="1"/>
  <c r="W306" i="1"/>
  <c r="Y324" i="1"/>
  <c r="W328" i="1"/>
  <c r="Y334" i="1"/>
  <c r="W342" i="1"/>
  <c r="W346" i="1"/>
  <c r="W349" i="1"/>
  <c r="W353" i="1"/>
  <c r="Y360" i="1"/>
  <c r="W360" i="1"/>
  <c r="W363" i="1"/>
  <c r="Y368" i="1"/>
  <c r="W368" i="1"/>
  <c r="Y375" i="1"/>
  <c r="W397" i="1"/>
  <c r="W426" i="1"/>
  <c r="Y432" i="1"/>
  <c r="W446" i="1"/>
  <c r="Y413" i="1"/>
  <c r="W413" i="1"/>
  <c r="Y436" i="1"/>
  <c r="Y454" i="1"/>
  <c r="W454" i="1"/>
  <c r="W476" i="1"/>
  <c r="W495" i="1"/>
  <c r="Y538" i="1"/>
  <c r="W538" i="1"/>
  <c r="Y657" i="1"/>
  <c r="W657" i="1"/>
  <c r="W660" i="1"/>
  <c r="Y660" i="1"/>
  <c r="W396" i="1"/>
  <c r="Y411" i="1"/>
  <c r="W411" i="1"/>
  <c r="W421" i="1"/>
  <c r="Y440" i="1"/>
  <c r="Y455" i="1"/>
  <c r="Q485" i="1"/>
  <c r="W545" i="1"/>
  <c r="Y545" i="1"/>
  <c r="Y362" i="1"/>
  <c r="W376" i="1"/>
  <c r="Y385" i="1"/>
  <c r="Y396" i="1"/>
  <c r="W403" i="1"/>
  <c r="W409" i="1"/>
  <c r="W414" i="1"/>
  <c r="Y421" i="1"/>
  <c r="W428" i="1"/>
  <c r="X427" i="1" s="1"/>
  <c r="Y431" i="1"/>
  <c r="W435" i="1"/>
  <c r="X435" i="1" s="1"/>
  <c r="W438" i="1"/>
  <c r="W440" i="1"/>
  <c r="W448" i="1"/>
  <c r="Y450" i="1"/>
  <c r="Y452" i="1"/>
  <c r="W452" i="1"/>
  <c r="X451" i="1" s="1"/>
  <c r="W457" i="1"/>
  <c r="W474" i="1"/>
  <c r="X472" i="1" s="1"/>
  <c r="W493" i="1"/>
  <c r="Y536" i="1"/>
  <c r="W536" i="1"/>
  <c r="Y541" i="1"/>
  <c r="W541" i="1"/>
  <c r="W389" i="1"/>
  <c r="Y469" i="1"/>
  <c r="W469" i="1"/>
  <c r="Y488" i="1"/>
  <c r="W488" i="1"/>
  <c r="Y507" i="1"/>
  <c r="W507" i="1"/>
  <c r="Y560" i="1"/>
  <c r="W560" i="1"/>
  <c r="Y623" i="1"/>
  <c r="W623" i="1"/>
  <c r="W372" i="1"/>
  <c r="Y381" i="1"/>
  <c r="W383" i="1"/>
  <c r="W393" i="1"/>
  <c r="Y406" i="1"/>
  <c r="W408" i="1"/>
  <c r="W418" i="1"/>
  <c r="Y443" i="1"/>
  <c r="W445" i="1"/>
  <c r="Y453" i="1"/>
  <c r="W463" i="1"/>
  <c r="Y465" i="1"/>
  <c r="Y472" i="1"/>
  <c r="Z472" i="1" s="1"/>
  <c r="Y477" i="1"/>
  <c r="W477" i="1"/>
  <c r="W497" i="1"/>
  <c r="W697" i="1"/>
  <c r="Y697" i="1"/>
  <c r="Y439" i="1"/>
  <c r="W439" i="1"/>
  <c r="Y511" i="1"/>
  <c r="W511" i="1"/>
  <c r="W608" i="1"/>
  <c r="Y608" i="1"/>
  <c r="W565" i="1"/>
  <c r="Y581" i="1"/>
  <c r="W581" i="1"/>
  <c r="W584" i="1"/>
  <c r="Y600" i="1"/>
  <c r="W600" i="1"/>
  <c r="W624" i="1"/>
  <c r="Y624" i="1"/>
  <c r="W630" i="1"/>
  <c r="Y630" i="1"/>
  <c r="Y681" i="1"/>
  <c r="Y710" i="1"/>
  <c r="W710" i="1"/>
  <c r="W713" i="1"/>
  <c r="Y713" i="1"/>
  <c r="Y548" i="1"/>
  <c r="W561" i="1"/>
  <c r="Y606" i="1"/>
  <c r="W606" i="1"/>
  <c r="W609" i="1"/>
  <c r="Y558" i="1"/>
  <c r="W558" i="1"/>
  <c r="W563" i="1"/>
  <c r="Y573" i="1"/>
  <c r="W573" i="1"/>
  <c r="W613" i="1"/>
  <c r="Y613" i="1"/>
  <c r="Y645" i="1"/>
  <c r="W679" i="1"/>
  <c r="Y679" i="1"/>
  <c r="Y689" i="1"/>
  <c r="W689" i="1"/>
  <c r="W692" i="1"/>
  <c r="Y692" i="1"/>
  <c r="W696" i="1"/>
  <c r="Y696" i="1"/>
  <c r="Y761" i="1"/>
  <c r="W761" i="1"/>
  <c r="Y766" i="1"/>
  <c r="W492" i="1"/>
  <c r="Y598" i="1"/>
  <c r="W598" i="1"/>
  <c r="Y619" i="1"/>
  <c r="W619" i="1"/>
  <c r="Y640" i="1"/>
  <c r="W640" i="1"/>
  <c r="W643" i="1"/>
  <c r="Y643" i="1"/>
  <c r="Z642" i="1" s="1"/>
  <c r="Y708" i="1"/>
  <c r="W708" i="1"/>
  <c r="W764" i="1"/>
  <c r="Y764" i="1"/>
  <c r="W556" i="1"/>
  <c r="Y556" i="1"/>
  <c r="Y562" i="1"/>
  <c r="W562" i="1"/>
  <c r="W569" i="1"/>
  <c r="Y577" i="1"/>
  <c r="W577" i="1"/>
  <c r="W622" i="1"/>
  <c r="Y622" i="1"/>
  <c r="Q625" i="1"/>
  <c r="W628" i="1"/>
  <c r="W715" i="1"/>
  <c r="Y715" i="1"/>
  <c r="Y742" i="1"/>
  <c r="W742" i="1"/>
  <c r="W745" i="1"/>
  <c r="Y745" i="1"/>
  <c r="Y554" i="1"/>
  <c r="Z552" i="1" s="1"/>
  <c r="W554" i="1"/>
  <c r="Z591" i="1"/>
  <c r="Y604" i="1"/>
  <c r="W604" i="1"/>
  <c r="W625" i="1"/>
  <c r="Y625" i="1"/>
  <c r="Z656" i="1"/>
  <c r="Y674" i="1"/>
  <c r="Z672" i="1" s="1"/>
  <c r="W674" i="1"/>
  <c r="Y727" i="1"/>
  <c r="W727" i="1"/>
  <c r="W730" i="1"/>
  <c r="Y730" i="1"/>
  <c r="W748" i="1"/>
  <c r="Y748" i="1"/>
  <c r="Y759" i="1"/>
  <c r="W759" i="1"/>
  <c r="W583" i="1"/>
  <c r="Y583" i="1"/>
  <c r="W605" i="1"/>
  <c r="Y605" i="1"/>
  <c r="Y638" i="1"/>
  <c r="W638" i="1"/>
  <c r="W694" i="1"/>
  <c r="Y694" i="1"/>
  <c r="W585" i="1"/>
  <c r="W587" i="1"/>
  <c r="W589" i="1"/>
  <c r="W610" i="1"/>
  <c r="W612" i="1"/>
  <c r="W627" i="1"/>
  <c r="W629" i="1"/>
  <c r="W646" i="1"/>
  <c r="W648" i="1"/>
  <c r="W663" i="1"/>
  <c r="W665" i="1"/>
  <c r="W682" i="1"/>
  <c r="W699" i="1"/>
  <c r="W718" i="1"/>
  <c r="W733" i="1"/>
  <c r="X732" i="1" s="1"/>
  <c r="W750" i="1"/>
  <c r="W752" i="1"/>
  <c r="W758" i="1"/>
  <c r="W767" i="1"/>
  <c r="W769" i="1"/>
  <c r="W552" i="1"/>
  <c r="W621" i="1"/>
  <c r="W642" i="1"/>
  <c r="W659" i="1"/>
  <c r="W691" i="1"/>
  <c r="W712" i="1"/>
  <c r="W729" i="1"/>
  <c r="Y736" i="1"/>
  <c r="W744" i="1"/>
  <c r="W774" i="1"/>
  <c r="X772" i="1" s="1"/>
  <c r="W644" i="1"/>
  <c r="W661" i="1"/>
  <c r="W678" i="1"/>
  <c r="W693" i="1"/>
  <c r="W695" i="1"/>
  <c r="W714" i="1"/>
  <c r="W716" i="1"/>
  <c r="W746" i="1"/>
  <c r="W763" i="1"/>
  <c r="W740" i="1"/>
  <c r="X740" i="1" s="1"/>
  <c r="X331" i="1" l="1"/>
  <c r="X762" i="1"/>
  <c r="Z467" i="1"/>
  <c r="Z534" i="1"/>
  <c r="X377" i="1"/>
  <c r="Z22" i="1"/>
  <c r="Z650" i="1"/>
  <c r="Z155" i="1"/>
  <c r="Z433" i="1"/>
  <c r="X51" i="1"/>
  <c r="X46" i="1"/>
  <c r="X650" i="1"/>
  <c r="Z81" i="1"/>
  <c r="Z445" i="1"/>
  <c r="X268" i="1"/>
  <c r="X195" i="1"/>
  <c r="X245" i="1"/>
  <c r="Z69" i="1"/>
  <c r="X81" i="1"/>
  <c r="X667" i="1"/>
  <c r="X467" i="1"/>
  <c r="Z272" i="1"/>
  <c r="Z195" i="1"/>
  <c r="Z170" i="1"/>
  <c r="X157" i="1"/>
  <c r="X753" i="1"/>
  <c r="Z427" i="1"/>
  <c r="Z776" i="1"/>
  <c r="Z147" i="1"/>
  <c r="X105" i="1"/>
  <c r="X613" i="1"/>
  <c r="Z697" i="1"/>
  <c r="X656" i="1"/>
  <c r="Z9" i="1"/>
  <c r="Z772" i="1"/>
  <c r="Z437" i="1"/>
  <c r="X320" i="1"/>
  <c r="X701" i="1"/>
  <c r="Z402" i="1"/>
  <c r="Z217" i="1"/>
  <c r="Z753" i="1"/>
  <c r="Z520" i="1"/>
  <c r="X255" i="1"/>
  <c r="Z43" i="1"/>
  <c r="Z617" i="1"/>
  <c r="X208" i="1"/>
  <c r="Z740" i="1"/>
  <c r="X597" i="1"/>
  <c r="Z613" i="1"/>
  <c r="X437" i="1"/>
  <c r="Z396" i="1"/>
  <c r="X520" i="1"/>
  <c r="Z485" i="1"/>
  <c r="X91" i="1"/>
  <c r="Z119" i="1"/>
  <c r="X112" i="1"/>
  <c r="Z371" i="1"/>
  <c r="X217" i="1"/>
  <c r="X139" i="1"/>
  <c r="Z16" i="1"/>
  <c r="X539" i="1"/>
  <c r="X276" i="1"/>
  <c r="X504" i="1"/>
  <c r="X662" i="1"/>
  <c r="Z725" i="1"/>
  <c r="Z667" i="1"/>
  <c r="Z579" i="1"/>
  <c r="Z701" i="1"/>
  <c r="Z55" i="1"/>
  <c r="Z268" i="1"/>
  <c r="Z492" i="1"/>
  <c r="Z563" i="1"/>
  <c r="Z161" i="1"/>
  <c r="X720" i="1"/>
  <c r="Z164" i="1"/>
  <c r="X75" i="1"/>
  <c r="X766" i="1"/>
  <c r="X147" i="1"/>
  <c r="Z527" i="1"/>
  <c r="X166" i="1"/>
  <c r="X630" i="1"/>
  <c r="Z315" i="1"/>
  <c r="Z51" i="1"/>
  <c r="Z2" i="1"/>
  <c r="Z166" i="1"/>
  <c r="X591" i="1"/>
  <c r="X681" i="1"/>
  <c r="X380" i="1"/>
  <c r="Z706" i="1"/>
  <c r="X677" i="1"/>
  <c r="Z583" i="1"/>
  <c r="Z435" i="1"/>
  <c r="X55" i="1"/>
  <c r="Z223" i="1"/>
  <c r="X299" i="1"/>
  <c r="Z645" i="1"/>
  <c r="Z320" i="1"/>
  <c r="X583" i="1"/>
  <c r="Z456" i="1"/>
  <c r="Z621" i="1"/>
  <c r="Z504" i="1"/>
  <c r="X338" i="1"/>
  <c r="Z130" i="1"/>
  <c r="X672" i="1"/>
  <c r="Z603" i="1"/>
  <c r="Z712" i="1"/>
  <c r="X617" i="1"/>
  <c r="Z630" i="1"/>
  <c r="Z477" i="1"/>
  <c r="X440" i="1"/>
  <c r="Z659" i="1"/>
  <c r="X305" i="1"/>
  <c r="X352" i="1"/>
  <c r="X170" i="1"/>
  <c r="X43" i="1"/>
  <c r="Z282" i="1"/>
  <c r="Z102" i="1"/>
  <c r="Z249" i="1"/>
  <c r="X2" i="1"/>
  <c r="X28" i="1"/>
  <c r="Z36" i="1"/>
  <c r="X482" i="1"/>
  <c r="Z720" i="1"/>
  <c r="Z729" i="1"/>
  <c r="Z344" i="1"/>
  <c r="Z91" i="1"/>
  <c r="Z338" i="1"/>
  <c r="Z744" i="1"/>
  <c r="Z380" i="1"/>
  <c r="X366" i="1"/>
  <c r="Z255" i="1"/>
  <c r="X744" i="1"/>
  <c r="X552" i="1"/>
  <c r="Z758" i="1"/>
  <c r="X556" i="1"/>
  <c r="X688" i="1"/>
  <c r="Z421" i="1"/>
  <c r="Z409" i="1"/>
  <c r="Z331" i="1"/>
  <c r="X309" i="1"/>
  <c r="X176" i="1"/>
  <c r="Z112" i="1"/>
  <c r="Z662" i="1"/>
  <c r="Z143" i="1"/>
  <c r="X164" i="1"/>
  <c r="X485" i="1"/>
  <c r="X69" i="1"/>
  <c r="Z691" i="1"/>
  <c r="X421" i="1"/>
  <c r="X460" i="1"/>
  <c r="X119" i="1"/>
  <c r="X223" i="1"/>
  <c r="X725" i="1"/>
  <c r="Z556" i="1"/>
  <c r="Z451" i="1"/>
  <c r="X261" i="1"/>
  <c r="X16" i="1"/>
  <c r="Z736" i="1"/>
  <c r="X637" i="1"/>
  <c r="Z762" i="1"/>
  <c r="Z766" i="1"/>
  <c r="Z688" i="1"/>
  <c r="Z572" i="1"/>
  <c r="X534" i="1"/>
  <c r="X326" i="1"/>
  <c r="X239" i="1"/>
  <c r="X392" i="1"/>
  <c r="Z539" i="1"/>
  <c r="Z208" i="1"/>
  <c r="X512" i="1"/>
  <c r="X290" i="1"/>
  <c r="Z239" i="1"/>
  <c r="X498" i="1"/>
  <c r="Z309" i="1"/>
  <c r="Z176" i="1"/>
  <c r="X9" i="1"/>
  <c r="X415" i="1"/>
  <c r="Z105" i="1"/>
  <c r="X36" i="1"/>
  <c r="Z182" i="1"/>
  <c r="Z46" i="1"/>
  <c r="X645" i="1"/>
  <c r="Z608" i="1"/>
  <c r="Z597" i="1"/>
  <c r="Z276" i="1"/>
  <c r="X717" i="1"/>
  <c r="Z625" i="1"/>
  <c r="Z230" i="1"/>
  <c r="X729" i="1"/>
  <c r="Z637" i="1"/>
  <c r="Z748" i="1"/>
  <c r="X603" i="1"/>
  <c r="X572" i="1"/>
  <c r="Z677" i="1"/>
  <c r="Z681" i="1"/>
  <c r="X579" i="1"/>
  <c r="X477" i="1"/>
  <c r="X448" i="1"/>
  <c r="X545" i="1"/>
  <c r="X360" i="1"/>
  <c r="X161" i="1"/>
  <c r="Z512" i="1"/>
  <c r="Z352" i="1"/>
  <c r="Z290" i="1"/>
  <c r="Z498" i="1"/>
  <c r="X62" i="1"/>
  <c r="X282" i="1"/>
  <c r="X102" i="1"/>
  <c r="Z415" i="1"/>
  <c r="Z28" i="1"/>
  <c r="X22" i="1"/>
  <c r="Z360" i="1"/>
  <c r="X563" i="1"/>
  <c r="X386" i="1"/>
  <c r="X344" i="1"/>
  <c r="Z463" i="1"/>
  <c r="Z299" i="1"/>
  <c r="X295" i="1"/>
  <c r="Z245" i="1"/>
  <c r="Z75" i="1"/>
  <c r="Z545" i="1"/>
  <c r="X456" i="1"/>
  <c r="Z386" i="1"/>
  <c r="Z261" i="1"/>
  <c r="X712" i="1"/>
  <c r="X758" i="1"/>
  <c r="X625" i="1"/>
  <c r="X706" i="1"/>
  <c r="X492" i="1"/>
  <c r="X409" i="1"/>
  <c r="X396" i="1"/>
  <c r="X202" i="1"/>
  <c r="X697" i="1"/>
  <c r="X691" i="1"/>
  <c r="X463" i="1"/>
  <c r="X402" i="1"/>
  <c r="Z366" i="1"/>
  <c r="X527" i="1"/>
  <c r="X659" i="1"/>
  <c r="X684" i="1"/>
  <c r="X130" i="1"/>
  <c r="Z460" i="1"/>
  <c r="X249" i="1"/>
  <c r="X642" i="1"/>
  <c r="X748" i="1"/>
  <c r="X608" i="1"/>
  <c r="X445" i="1"/>
  <c r="X371" i="1"/>
  <c r="Z440" i="1"/>
  <c r="X182" i="1"/>
  <c r="X621" i="1"/>
  <c r="Z4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Gavin McNicol</author>
  </authors>
  <commentList>
    <comment ref="R1" authorId="0" shapeId="0" xr:uid="{26FD5761-0CB6-45EB-9809-6A6035524AEC}">
      <text>
        <r>
          <rPr>
            <b/>
            <sz val="9"/>
            <color indexed="81"/>
            <rFont val="Tahoma"/>
            <family val="2"/>
          </rPr>
          <t>Gavin McNicol:</t>
        </r>
        <r>
          <rPr>
            <sz val="9"/>
            <color indexed="81"/>
            <rFont val="Tahoma"/>
            <family val="2"/>
          </rPr>
          <t xml:space="preserve">
red where Db was likely to be too high (for high (&gt;10%) %C horizons) - Johnson explain 'clod' Db approach over estimated x1-4.5 </t>
        </r>
      </text>
    </comment>
    <comment ref="S1" authorId="0" shapeId="0" xr:uid="{6EF0A7F0-D0D6-4CFC-8688-4C0A70D3E998}">
      <text>
        <r>
          <rPr>
            <b/>
            <sz val="9"/>
            <color indexed="81"/>
            <rFont val="Tahoma"/>
            <family val="2"/>
          </rPr>
          <t>Gavin McNicol:</t>
        </r>
        <r>
          <rPr>
            <sz val="9"/>
            <color indexed="81"/>
            <rFont val="Tahoma"/>
            <family val="2"/>
          </rPr>
          <t xml:space="preserve">
HORIZON col was first converted to Canadian classification (see columns to right) then assigned a bulk density</t>
        </r>
      </text>
    </comment>
    <comment ref="T1" authorId="0" shapeId="0" xr:uid="{B688DCB4-55A1-4D0B-A8ED-9646DB7F902B}">
      <text>
        <r>
          <rPr>
            <b/>
            <sz val="9"/>
            <color indexed="81"/>
            <rFont val="Tahoma"/>
            <family val="2"/>
          </rPr>
          <t>Gavin McNicol
Final bulk density is realistic (non-organic) measured value, or Shaw et al. bulk density.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<sst xmlns="http://schemas.openxmlformats.org/spreadsheetml/2006/main" count="7801" uniqueCount="374">
  <si>
    <t>Row</t>
  </si>
  <si>
    <t>SOURCE</t>
  </si>
  <si>
    <t>ID</t>
  </si>
  <si>
    <t>ORDER</t>
  </si>
  <si>
    <t xml:space="preserve">LAT </t>
  </si>
  <si>
    <t>LON</t>
  </si>
  <si>
    <t>LATLON_Q</t>
  </si>
  <si>
    <t>Elevation</t>
  </si>
  <si>
    <t>Slope</t>
  </si>
  <si>
    <t>Aspect</t>
  </si>
  <si>
    <t>HORIZON</t>
  </si>
  <si>
    <t>DEPTH2</t>
  </si>
  <si>
    <t>DEPTH1</t>
  </si>
  <si>
    <t>DEPTH</t>
  </si>
  <si>
    <t>MINERAL_D</t>
  </si>
  <si>
    <t>FF_D</t>
  </si>
  <si>
    <t>TOTAL_D</t>
  </si>
  <si>
    <t>BULK DENSITY_MEAS</t>
  </si>
  <si>
    <t>BULK DENSITY_SHAW</t>
  </si>
  <si>
    <t>BULK DENSITY</t>
  </si>
  <si>
    <t>CF</t>
  </si>
  <si>
    <t>CCONC</t>
  </si>
  <si>
    <t>CCONTENT</t>
  </si>
  <si>
    <t>TOTAL_C</t>
  </si>
  <si>
    <t>CCONTENT_1M</t>
  </si>
  <si>
    <t>TOTAL_C_1M</t>
  </si>
  <si>
    <t>Canadian Order</t>
  </si>
  <si>
    <t>NRCS (Michaelson et al. 2013)</t>
  </si>
  <si>
    <t>95AK110001</t>
  </si>
  <si>
    <t>Loamy, dysic Terric Cryohemist</t>
  </si>
  <si>
    <t>HIGH</t>
  </si>
  <si>
    <t>NA</t>
  </si>
  <si>
    <t>Oe1</t>
  </si>
  <si>
    <t>Terric Mesisol</t>
  </si>
  <si>
    <t>Om1</t>
  </si>
  <si>
    <t>Oe2</t>
  </si>
  <si>
    <t>Om2</t>
  </si>
  <si>
    <t>Oe3</t>
  </si>
  <si>
    <t>2C</t>
  </si>
  <si>
    <t>Om3</t>
  </si>
  <si>
    <t>Oe4 / Oe5</t>
  </si>
  <si>
    <t>Bs</t>
  </si>
  <si>
    <t>Om4 / Om5</t>
  </si>
  <si>
    <t>Oe6</t>
  </si>
  <si>
    <t>C</t>
  </si>
  <si>
    <t>Om6</t>
  </si>
  <si>
    <t>2Bgb</t>
  </si>
  <si>
    <t>E</t>
  </si>
  <si>
    <t>2Cg</t>
  </si>
  <si>
    <t>Oi</t>
  </si>
  <si>
    <t>95AK110002</t>
  </si>
  <si>
    <t>Oe</t>
  </si>
  <si>
    <t>Oa</t>
  </si>
  <si>
    <t>O</t>
  </si>
  <si>
    <t>Oe4</t>
  </si>
  <si>
    <t>Om4</t>
  </si>
  <si>
    <t>3C</t>
  </si>
  <si>
    <t>95AK110003</t>
  </si>
  <si>
    <t>Loamy-skeletal, mixed, isofrigid Typic Cryaquod</t>
  </si>
  <si>
    <t>Humic Podzol</t>
  </si>
  <si>
    <t>Of</t>
  </si>
  <si>
    <t>bf</t>
  </si>
  <si>
    <t>Bm</t>
  </si>
  <si>
    <t>2C1</t>
  </si>
  <si>
    <t>2C2</t>
  </si>
  <si>
    <t>95AK110004</t>
  </si>
  <si>
    <t>Coarse-loamy, mixed, isofrigid Typic Haplocryod</t>
  </si>
  <si>
    <t>Om</t>
  </si>
  <si>
    <t>Bh</t>
  </si>
  <si>
    <t>Bs1</t>
  </si>
  <si>
    <t>bf1</t>
  </si>
  <si>
    <t>Bs2</t>
  </si>
  <si>
    <t>bf2</t>
  </si>
  <si>
    <t>90AK110001</t>
  </si>
  <si>
    <t>Loamy-skeletal, mixed Typic Cryorthod</t>
  </si>
  <si>
    <t>Humo-Ferric Podzol</t>
  </si>
  <si>
    <t>Oh</t>
  </si>
  <si>
    <t>Bhs</t>
  </si>
  <si>
    <t>Bhf</t>
  </si>
  <si>
    <t>BC</t>
  </si>
  <si>
    <t>C1</t>
  </si>
  <si>
    <t>C2</t>
  </si>
  <si>
    <t>90AK110006</t>
  </si>
  <si>
    <t>Sandy or sandy-skeletal, mixed Typic Cryorthent</t>
  </si>
  <si>
    <t>Humic Regosol</t>
  </si>
  <si>
    <t>90AK110003</t>
  </si>
  <si>
    <t>Mixed, frigid Typic Udipsamment</t>
  </si>
  <si>
    <t>A</t>
  </si>
  <si>
    <t>90AK110004</t>
  </si>
  <si>
    <t>Mixed Typic Cryopsamment</t>
  </si>
  <si>
    <t>90AK110009</t>
  </si>
  <si>
    <t>90AK110010</t>
  </si>
  <si>
    <t>Medial-skeletal Andic Cryorthod</t>
  </si>
  <si>
    <t>2Bs</t>
  </si>
  <si>
    <t>2bf</t>
  </si>
  <si>
    <t>90AK110008</t>
  </si>
  <si>
    <t>Forest Point, SMU8135d</t>
  </si>
  <si>
    <t>Medial, amorphic, ortstein Duric Cryaquod</t>
  </si>
  <si>
    <t>Cd</t>
  </si>
  <si>
    <t>Tundra Point 8103E</t>
  </si>
  <si>
    <t>Medial, amorphic Andic Humicryod</t>
  </si>
  <si>
    <t>Bhs1</t>
  </si>
  <si>
    <t>Bhf1</t>
  </si>
  <si>
    <t>Bhs2</t>
  </si>
  <si>
    <t>Bhf2</t>
  </si>
  <si>
    <t>87AK220010</t>
  </si>
  <si>
    <t>Medial Humic Cryorthod</t>
  </si>
  <si>
    <t>Ferro-Humic Podzol</t>
  </si>
  <si>
    <t>B1</t>
  </si>
  <si>
    <t>B2</t>
  </si>
  <si>
    <t>Bsm</t>
  </si>
  <si>
    <t>bfm</t>
  </si>
  <si>
    <t>87AK220009</t>
  </si>
  <si>
    <t>Medial, frigid Placic Haplaquod</t>
  </si>
  <si>
    <t>2C3</t>
  </si>
  <si>
    <t>2C4</t>
  </si>
  <si>
    <t>83AK220005</t>
  </si>
  <si>
    <t>Loamy-skeletal Lithic Cryochrept</t>
  </si>
  <si>
    <t>Dystric Brunisol</t>
  </si>
  <si>
    <t>83AK220004</t>
  </si>
  <si>
    <t>Sandy Typic Cryohumod</t>
  </si>
  <si>
    <t>83AK220007</t>
  </si>
  <si>
    <t>Coarse-loamy Cryic Fragihumod</t>
  </si>
  <si>
    <t>BCx</t>
  </si>
  <si>
    <t>2Cx</t>
  </si>
  <si>
    <t>84AK220329</t>
  </si>
  <si>
    <t>Loamy-skeletal, mixed Cryic Fragiorthod</t>
  </si>
  <si>
    <t>Eb</t>
  </si>
  <si>
    <t>E1b</t>
  </si>
  <si>
    <t>Cx</t>
  </si>
  <si>
    <t>89AK220002</t>
  </si>
  <si>
    <t>Loamy-skeletal, mixed Aeric Cryaquod</t>
  </si>
  <si>
    <t>Oa2</t>
  </si>
  <si>
    <t>Oh2</t>
  </si>
  <si>
    <t>2Cm</t>
  </si>
  <si>
    <t>83AK220009</t>
  </si>
  <si>
    <t>Loamy-skeletal Lithic Aquic Cryorthent</t>
  </si>
  <si>
    <t>Cr</t>
  </si>
  <si>
    <t>83AK220010</t>
  </si>
  <si>
    <t>Loamy-skeletal Lithic Cryorthent</t>
  </si>
  <si>
    <t>83AK220027</t>
  </si>
  <si>
    <t>Coarse-loamy Aquic Fragiorthod</t>
  </si>
  <si>
    <t>Oi2</t>
  </si>
  <si>
    <t>Of2</t>
  </si>
  <si>
    <t>83AK130027</t>
  </si>
  <si>
    <t>Dysic Lithic Cryofolist</t>
  </si>
  <si>
    <t>Folisol</t>
  </si>
  <si>
    <t>83AK130028</t>
  </si>
  <si>
    <t>Thixotropic Lithic Cryorthod</t>
  </si>
  <si>
    <t>E / Bhs</t>
  </si>
  <si>
    <t>E / Bhf</t>
  </si>
  <si>
    <t>83AK130029</t>
  </si>
  <si>
    <t>Coarse-loamy, mixed Lithic Cryochrept</t>
  </si>
  <si>
    <t>83AK130030</t>
  </si>
  <si>
    <t>83AK130126</t>
  </si>
  <si>
    <t>81AK280008</t>
  </si>
  <si>
    <t>Thixotropic-skeletal Humic Cryorthod</t>
  </si>
  <si>
    <t>83AK280010</t>
  </si>
  <si>
    <t>Medial-skeletal Typic Cryaquod</t>
  </si>
  <si>
    <t>Bh1</t>
  </si>
  <si>
    <t>Bh2</t>
  </si>
  <si>
    <t>84AK201003</t>
  </si>
  <si>
    <t>Coarse-loamy, mixed Typic Cryorthod</t>
  </si>
  <si>
    <t>81AK280002</t>
  </si>
  <si>
    <t>Thixotropic-skeletal Humic Lithic Cryorthod</t>
  </si>
  <si>
    <t>81AK280003</t>
  </si>
  <si>
    <t>Thixotropic Humic Lithic Cryorthod</t>
  </si>
  <si>
    <t>83AK130122</t>
  </si>
  <si>
    <t>Thixotropic-skeletal Typic Cryorthod</t>
  </si>
  <si>
    <t>2BC</t>
  </si>
  <si>
    <t>81AK280009</t>
  </si>
  <si>
    <t>Thixotrophic Skeletal Humic Cryorthod</t>
  </si>
  <si>
    <t>O1</t>
  </si>
  <si>
    <t>O2</t>
  </si>
  <si>
    <t>E/A</t>
  </si>
  <si>
    <t>B</t>
  </si>
  <si>
    <t>98AK280001</t>
  </si>
  <si>
    <t>Loamy, mixed, dysic Terric Cryosaprist</t>
  </si>
  <si>
    <t>Humisol</t>
  </si>
  <si>
    <t>Oa1</t>
  </si>
  <si>
    <t>Oh1</t>
  </si>
  <si>
    <t>Oa3</t>
  </si>
  <si>
    <t>Oh3</t>
  </si>
  <si>
    <t>Ab</t>
  </si>
  <si>
    <t>Bg</t>
  </si>
  <si>
    <t>Cg1</t>
  </si>
  <si>
    <t>Cg2</t>
  </si>
  <si>
    <t>C1 / C2</t>
  </si>
  <si>
    <t>98AK280002</t>
  </si>
  <si>
    <t>Dysic Hemic Cryosaprist</t>
  </si>
  <si>
    <t>98AK280003</t>
  </si>
  <si>
    <t>Coarse-loamy, mixed, active Typic Cryaquod</t>
  </si>
  <si>
    <t>98AK280004</t>
  </si>
  <si>
    <t>Spodosol</t>
  </si>
  <si>
    <t>Eh</t>
  </si>
  <si>
    <t/>
  </si>
  <si>
    <t>84AK201001</t>
  </si>
  <si>
    <t>Coarse-loamy, mixed Humic Cryorthod</t>
  </si>
  <si>
    <t>Oi1</t>
  </si>
  <si>
    <t>Of1</t>
  </si>
  <si>
    <t>84AK201005</t>
  </si>
  <si>
    <t>Coarse-loamy, mixed Humic Lithic Cryorthod</t>
  </si>
  <si>
    <t>83AK280004</t>
  </si>
  <si>
    <t>Medial-skeletal Humic Cryorthod</t>
  </si>
  <si>
    <t>82AK280231</t>
  </si>
  <si>
    <t>81AK280007</t>
  </si>
  <si>
    <t>Thixotropic Humic Cryorthod</t>
  </si>
  <si>
    <t>E1</t>
  </si>
  <si>
    <t>E2</t>
  </si>
  <si>
    <t>81AK280014</t>
  </si>
  <si>
    <t>Sandy-skeletal, mixed Entic Cryumbrept</t>
  </si>
  <si>
    <t>81AK280006</t>
  </si>
  <si>
    <t>82AK280002</t>
  </si>
  <si>
    <t>Medial-skeletal Sideric Cryaquod</t>
  </si>
  <si>
    <t>81AK280010</t>
  </si>
  <si>
    <t>Medial over sandy or sandy-skeletal, mixed Typic Cryorthod</t>
  </si>
  <si>
    <t>81AK280011</t>
  </si>
  <si>
    <t>Thixotropic-skeletal Typic Cryaquod</t>
  </si>
  <si>
    <t>81AK280001</t>
  </si>
  <si>
    <t>85AK280003</t>
  </si>
  <si>
    <t>Loamy, mixed Humic Cryorthod</t>
  </si>
  <si>
    <t>85AK280004</t>
  </si>
  <si>
    <t>Loamy-skeletal, mixed, euic Terric Cryosaprist</t>
  </si>
  <si>
    <t>81AK280004</t>
  </si>
  <si>
    <t>81AK280005</t>
  </si>
  <si>
    <t>Loamy, mixed Lithic Cryorthod</t>
  </si>
  <si>
    <t>81AK280012</t>
  </si>
  <si>
    <t>81AK280013</t>
  </si>
  <si>
    <t>Loamy, mixed Typic Cryorthod</t>
  </si>
  <si>
    <t>83AK280005</t>
  </si>
  <si>
    <t>Sandy-skeletal, mixed Humic Cryorthod</t>
  </si>
  <si>
    <t>83AK280007</t>
  </si>
  <si>
    <t>Sandy, mixed Humic Cryorthod</t>
  </si>
  <si>
    <t>85AK280001</t>
  </si>
  <si>
    <t>Fine-silty, mixed Typic Cryaquod</t>
  </si>
  <si>
    <t>85AK280002</t>
  </si>
  <si>
    <t>Fine-silty, mixed Humic Cryorthod</t>
  </si>
  <si>
    <t>83AK130004</t>
  </si>
  <si>
    <t>83AK130157</t>
  </si>
  <si>
    <t>83AK130158</t>
  </si>
  <si>
    <t>83AK130159</t>
  </si>
  <si>
    <t>83AK130160</t>
  </si>
  <si>
    <t>Bhs3</t>
  </si>
  <si>
    <t>Bhf3</t>
  </si>
  <si>
    <t>83AK130142</t>
  </si>
  <si>
    <t>83AK130143</t>
  </si>
  <si>
    <t>Sandy-skeletal, mixed Typic Cryofluvent</t>
  </si>
  <si>
    <t>83AK130144</t>
  </si>
  <si>
    <t>82AK130132</t>
  </si>
  <si>
    <t>By</t>
  </si>
  <si>
    <t>82AK130147</t>
  </si>
  <si>
    <t>78AK130001</t>
  </si>
  <si>
    <t>Thixotropic, mixed Humic Lithic Cryorthod</t>
  </si>
  <si>
    <t>R</t>
  </si>
  <si>
    <t>83AK130023</t>
  </si>
  <si>
    <t>Loamy-skeletal, mixed Humic Cryorthod</t>
  </si>
  <si>
    <t>83AK130129</t>
  </si>
  <si>
    <t>83AK130130</t>
  </si>
  <si>
    <t>Loamy, mixed, micro Humic Cryorthod</t>
  </si>
  <si>
    <t>83AK130192</t>
  </si>
  <si>
    <t>83AK130193</t>
  </si>
  <si>
    <t>Loamy, mixed Lithic Cryorthent</t>
  </si>
  <si>
    <t>83AK130194</t>
  </si>
  <si>
    <t>Loamy, mixed Humic Lithic Cryorthod</t>
  </si>
  <si>
    <t>83AK130195</t>
  </si>
  <si>
    <t>83AK130196</t>
  </si>
  <si>
    <t>Loamy-skeletal, mixed, micro Humic Cryorthod</t>
  </si>
  <si>
    <t>83AK130197</t>
  </si>
  <si>
    <t>83AK130198</t>
  </si>
  <si>
    <t>83AK130199</t>
  </si>
  <si>
    <t>Loamy-skeletal, mixed Typic Cryaquod</t>
  </si>
  <si>
    <t>83AK130025</t>
  </si>
  <si>
    <t>83AK130127</t>
  </si>
  <si>
    <t>Loamy-skeletal, mixed Humic Lithic Cryorthod</t>
  </si>
  <si>
    <t>83AK130131</t>
  </si>
  <si>
    <t>83AK220019</t>
  </si>
  <si>
    <t>83AK130128</t>
  </si>
  <si>
    <t>84AK201014</t>
  </si>
  <si>
    <t>Loamy-skeletal, mixed, frigid, shallom Placic Haplaquod</t>
  </si>
  <si>
    <t>84AK201004</t>
  </si>
  <si>
    <t>78AK130002</t>
  </si>
  <si>
    <t>Thixotropic, mixed Typic Cryorthod</t>
  </si>
  <si>
    <t>84AK201006</t>
  </si>
  <si>
    <t>Sandy-skeletal, mixed Typic Cryorthod</t>
  </si>
  <si>
    <t>98AK201001</t>
  </si>
  <si>
    <t>Dysic Typic Cryohemist</t>
  </si>
  <si>
    <t>Mesisol</t>
  </si>
  <si>
    <t>98AK201002</t>
  </si>
  <si>
    <t>3Cd</t>
  </si>
  <si>
    <t>98AK201003</t>
  </si>
  <si>
    <t>Oa1 / Oa2</t>
  </si>
  <si>
    <t>Oh1 / Oh2</t>
  </si>
  <si>
    <t>98AK201004</t>
  </si>
  <si>
    <t>Coarse-loamy, mixed, active Typic Humicryod</t>
  </si>
  <si>
    <t>82AK130125</t>
  </si>
  <si>
    <t>82AK130126</t>
  </si>
  <si>
    <t>82AK130134</t>
  </si>
  <si>
    <t>82AK130136</t>
  </si>
  <si>
    <t>83AK130050</t>
  </si>
  <si>
    <t>B / C</t>
  </si>
  <si>
    <t>85AK130000</t>
  </si>
  <si>
    <t>82AK130006</t>
  </si>
  <si>
    <t>Thixotropic Typic Cryorthod</t>
  </si>
  <si>
    <t>82AK130133</t>
  </si>
  <si>
    <t>82AK130004</t>
  </si>
  <si>
    <t>83AK130049</t>
  </si>
  <si>
    <t>Coarse-loamy, mixed Cryic Fragiorthod</t>
  </si>
  <si>
    <t>84AK201007</t>
  </si>
  <si>
    <t>84AK201008</t>
  </si>
  <si>
    <t>82AK130005</t>
  </si>
  <si>
    <t>Oe / Oa</t>
  </si>
  <si>
    <t>Om / Oh</t>
  </si>
  <si>
    <t>83AK130011</t>
  </si>
  <si>
    <t>83AK130018</t>
  </si>
  <si>
    <t>84AK201009</t>
  </si>
  <si>
    <t>84AK201010</t>
  </si>
  <si>
    <t>Loamy-skeletal, mixed Lithic Cryaquod</t>
  </si>
  <si>
    <t>83AK130125</t>
  </si>
  <si>
    <t>84AK201012</t>
  </si>
  <si>
    <t>Coarse-loamy, mixed, frigid Placic Haplaquod</t>
  </si>
  <si>
    <t>84AK201002</t>
  </si>
  <si>
    <t>83AK130110</t>
  </si>
  <si>
    <t>83AK130111</t>
  </si>
  <si>
    <t>83AK280006</t>
  </si>
  <si>
    <t>83AK280008</t>
  </si>
  <si>
    <t>Dysic Typic Cryosaprist</t>
  </si>
  <si>
    <t>83AK130120</t>
  </si>
  <si>
    <t>Fragmental, mixed, dysic Terric Cryosaprist</t>
  </si>
  <si>
    <t>83AK130171</t>
  </si>
  <si>
    <t>Thixotropic over sandy or sandy-skeletal Typic Cryorthod</t>
  </si>
  <si>
    <t>83AK130172</t>
  </si>
  <si>
    <t>83AK220138</t>
  </si>
  <si>
    <t>83AK280009</t>
  </si>
  <si>
    <t>Sandy, mixed, dysic Terric Cryohemist</t>
  </si>
  <si>
    <t>83AK130041</t>
  </si>
  <si>
    <t>83AK130042</t>
  </si>
  <si>
    <t>Typic Cryofolist</t>
  </si>
  <si>
    <t>83AK130043</t>
  </si>
  <si>
    <t>Loamy-skeletal, mixed Cryorthidic Arent</t>
  </si>
  <si>
    <t>83AK130044</t>
  </si>
  <si>
    <t>83AK130113</t>
  </si>
  <si>
    <t>Dysic Typic Cryofolist</t>
  </si>
  <si>
    <t>83AK130114</t>
  </si>
  <si>
    <t>B / Bs</t>
  </si>
  <si>
    <t>B / bf</t>
  </si>
  <si>
    <t>83AK130116</t>
  </si>
  <si>
    <t>83AK130162</t>
  </si>
  <si>
    <t>Bs / E</t>
  </si>
  <si>
    <t>bf / E</t>
  </si>
  <si>
    <t>CB</t>
  </si>
  <si>
    <t>83AK130163</t>
  </si>
  <si>
    <t>Bhs / Bs</t>
  </si>
  <si>
    <t>Bhf / bf</t>
  </si>
  <si>
    <t>83AK130164</t>
  </si>
  <si>
    <t>Bs / Oa</t>
  </si>
  <si>
    <t>bf / Oh</t>
  </si>
  <si>
    <t>EB</t>
  </si>
  <si>
    <t>83AK130153</t>
  </si>
  <si>
    <t>83AK130145</t>
  </si>
  <si>
    <t>Loamy-skeletal, mixed Typic Fragiaquept</t>
  </si>
  <si>
    <t>83AK130154</t>
  </si>
  <si>
    <t>83AK130155</t>
  </si>
  <si>
    <t>83AK130156</t>
  </si>
  <si>
    <t>Thixotropic-skeletal Cryic Fragiaquod</t>
  </si>
  <si>
    <t>84AK130153</t>
  </si>
  <si>
    <t>83AK280140</t>
  </si>
  <si>
    <t>Thixotropic Typic Cryaquod</t>
  </si>
  <si>
    <t>83AK130141</t>
  </si>
  <si>
    <t>83AK130149</t>
  </si>
  <si>
    <t>83AK130150</t>
  </si>
  <si>
    <t>83AK130151</t>
  </si>
  <si>
    <t>83AK130152</t>
  </si>
  <si>
    <t>83AK280139</t>
  </si>
  <si>
    <t>cconc_method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</si>
</sst>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0">
    <font>
      <sz val="11"/>
      <color theme="1"/>
      <name val="Calibri"/>
      <family val="2"/>
      <scheme val="minor"/>
    </font>
    <font>
      <sz val="11"/>
      <color theme="1"/>
      <name val="Calibri "/>
    </font>
    <font>
      <b/>
      <sz val="11"/>
      <color theme="1"/>
      <name val="Calibri "/>
    </font>
    <font>
      <sz val="10"/>
      <color indexed="8"/>
      <name val="Arial"/>
      <family val="2"/>
    </font>
    <font>
      <sz val="11"/>
      <color indexed="8"/>
      <name val="Calibri "/>
    </font>
    <font>
      <sz val="11"/>
      <name val="Calibri "/>
    </font>
    <font>
      <b/>
      <sz val="11"/>
      <color indexed="8"/>
      <name val="Calibri "/>
    </font>
    <font>
      <sz val="11"/>
      <color rgb="FFFF0000"/>
      <name val="Calibri 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39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2" fontId="1" fillId="0" borderId="0" xfId="0" applyNumberFormat="1" applyFont="1"/>
    <xf numFmtId="0" fontId="2" fillId="0" borderId="0" xfId="0" applyFont="1" applyAlignment="1">
      <alignment horizontal="center"/>
    </xf>
    <xf numFmtId="2" fontId="4" fillId="0" borderId="0" xfId="1" applyNumberFormat="1" applyFont="1" applyAlignment="1">
      <alignment horizontal="center"/>
    </xf>
    <xf numFmtId="164" fontId="4" fillId="0" borderId="0" xfId="1" applyNumberFormat="1" applyFont="1" applyAlignment="1">
      <alignment horizontal="center"/>
    </xf>
    <xf numFmtId="0" fontId="4" fillId="0" borderId="0" xfId="1" applyFont="1" applyAlignment="1">
      <alignment horizontal="center"/>
    </xf>
    <xf numFmtId="1" fontId="1" fillId="4" borderId="0" xfId="0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" fontId="4" fillId="0" borderId="0" xfId="1" applyNumberFormat="1" applyFont="1" applyAlignment="1">
      <alignment horizontal="center"/>
    </xf>
    <xf numFmtId="2" fontId="5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7" fillId="0" borderId="0" xfId="0" applyNumberFormat="1" applyFont="1" applyAlignment="1">
      <alignment horizontal="center"/>
    </xf>
    <xf numFmtId="0" fontId="5" fillId="0" borderId="0" xfId="1" applyFont="1" applyAlignment="1">
      <alignment horizontal="center"/>
    </xf>
    <xf numFmtId="2" fontId="2" fillId="5" borderId="0" xfId="0" applyNumberFormat="1" applyFont="1" applyFill="1"/>
    <xf numFmtId="0" fontId="2" fillId="5" borderId="0" xfId="0" applyFont="1" applyFill="1"/>
    <xf numFmtId="0" fontId="5" fillId="5" borderId="0" xfId="0" applyFont="1" applyFill="1"/>
    <xf numFmtId="0" fontId="1" fillId="0" borderId="0" xfId="0" applyFont="1" applyAlignment="1">
      <alignment vertical="center" wrapText="1"/>
    </xf>
    <xf numFmtId="2" fontId="1" fillId="5" borderId="0" xfId="0" applyNumberFormat="1" applyFont="1" applyFill="1"/>
    <xf numFmtId="2" fontId="5" fillId="5" borderId="0" xfId="0" applyNumberFormat="1" applyFont="1" applyFill="1"/>
    <xf numFmtId="0" fontId="5" fillId="0" borderId="0" xfId="0" applyFont="1" applyAlignment="1">
      <alignment horizontal="center"/>
    </xf>
    <xf numFmtId="0" fontId="7" fillId="5" borderId="0" xfId="0" applyFont="1" applyFill="1"/>
    <xf numFmtId="0" fontId="7" fillId="0" borderId="0" xfId="1" applyFont="1" applyAlignment="1">
      <alignment horizontal="center"/>
    </xf>
    <xf numFmtId="0" fontId="5" fillId="0" borderId="0" xfId="0" applyFont="1"/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2" fontId="5" fillId="5" borderId="0" xfId="0" applyNumberFormat="1" applyFont="1" applyFill="1" applyAlignment="1">
      <alignment horizontal="center"/>
    </xf>
    <xf numFmtId="0" fontId="7" fillId="0" borderId="0" xfId="0" applyFont="1"/>
    <xf numFmtId="0" fontId="0" fillId="0" borderId="0" xfId="0" applyAlignment="1">
      <alignment horizontal="center"/>
    </xf>
    <xf numFmtId="2" fontId="7" fillId="0" borderId="0" xfId="1" applyNumberFormat="1" applyFont="1" applyAlignment="1">
      <alignment horizontal="center"/>
    </xf>
    <xf numFmtId="2" fontId="5" fillId="5" borderId="0" xfId="1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6" fillId="4" borderId="0" xfId="1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</cellXfs>
  <cellStyles count="2">
    <cellStyle name="Normal" xfId="0" builtinId="0"/>
    <cellStyle name="Normal_Sheet1" xfId="1" xr:uid="{4C603CA9-8F9B-4BA0-8ECF-344DCE12080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F036-03B4-417F-869F-6563309CA21B}">
  <sheetPr codeName="Sheet1"/>
  <dimension ref="A1:AL778"/>
  <sheetViews>
    <sheetView tabSelected="1" topLeftCell="V1" zoomScale="125" zoomScaleNormal="94" workbookViewId="0">
      <selection activeCell="AD1" sqref="AD1:AE1"/>
    </sheetView>
  </sheetViews>
  <sheetFormatPr baseColWidth="10" defaultColWidth="8.83203125" defaultRowHeight="15"/>
  <cols>
    <col min="38" max="38" width="9.1640625" bestFit="1" customWidth="1"/>
  </cols>
  <sheetData>
    <row r="1" spans="1:38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S1" s="3" t="s">
        <v>18</v>
      </c>
      <c r="T1" s="4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2" t="s">
        <v>25</v>
      </c>
      <c r="AA1" s="2"/>
      <c r="AB1" s="5"/>
      <c r="AC1" s="1"/>
      <c r="AD1" s="36"/>
      <c r="AE1" s="36"/>
      <c r="AF1" s="6"/>
      <c r="AG1" s="6"/>
      <c r="AH1" s="6"/>
      <c r="AI1" s="6" t="s">
        <v>26</v>
      </c>
      <c r="AJ1" s="6" t="s">
        <v>10</v>
      </c>
      <c r="AK1" s="6"/>
      <c r="AL1" s="6" t="s">
        <v>373</v>
      </c>
    </row>
    <row r="2" spans="1:38">
      <c r="A2" s="1">
        <v>1</v>
      </c>
      <c r="B2" s="3" t="s">
        <v>27</v>
      </c>
      <c r="C2" s="7" t="s">
        <v>28</v>
      </c>
      <c r="D2" s="7" t="s">
        <v>29</v>
      </c>
      <c r="E2" s="8">
        <v>58.29774444444444</v>
      </c>
      <c r="F2" s="8">
        <v>-134.54691111111111</v>
      </c>
      <c r="G2" s="9" t="s">
        <v>30</v>
      </c>
      <c r="H2" s="3" t="s">
        <v>31</v>
      </c>
      <c r="I2" s="3" t="s">
        <v>31</v>
      </c>
      <c r="J2" s="3" t="s">
        <v>31</v>
      </c>
      <c r="K2" s="7" t="s">
        <v>32</v>
      </c>
      <c r="L2" s="9">
        <v>0</v>
      </c>
      <c r="M2" s="9">
        <v>16</v>
      </c>
      <c r="N2" s="9">
        <f t="shared" ref="N2:N65" si="0">ABS(M2-L2)</f>
        <v>16</v>
      </c>
      <c r="O2" s="10">
        <f>M8-P2</f>
        <v>38</v>
      </c>
      <c r="P2" s="10">
        <f>M6</f>
        <v>102</v>
      </c>
      <c r="Q2" s="10">
        <f>O2+P2</f>
        <v>140</v>
      </c>
      <c r="R2" s="11">
        <v>0</v>
      </c>
      <c r="S2" s="1">
        <v>0.12</v>
      </c>
      <c r="T2" s="1">
        <f t="shared" ref="T2:T65" si="1">IF(R2=0,S2,R2)</f>
        <v>0.12</v>
      </c>
      <c r="U2" s="12">
        <v>0</v>
      </c>
      <c r="V2" s="13">
        <v>50.09</v>
      </c>
      <c r="W2" s="14">
        <f>T2*V2/100*N2*100*100*((100-U2)/100)</f>
        <v>9617.2800000000007</v>
      </c>
      <c r="X2" s="14">
        <f>SUM(W2:W8)</f>
        <v>65023.494899999991</v>
      </c>
      <c r="Y2" s="14">
        <f>T2*V2/100*N2*100*100*((100-U2)/100)</f>
        <v>9617.2800000000007</v>
      </c>
      <c r="Z2" s="15">
        <f>SUM(Y2:Y8)/10^6*10^4</f>
        <v>597.01080000000002</v>
      </c>
      <c r="AA2" s="16">
        <v>155.96504708746301</v>
      </c>
      <c r="AB2" s="11"/>
      <c r="AC2" s="3"/>
      <c r="AD2" s="3"/>
      <c r="AE2" s="3"/>
      <c r="AF2" s="3"/>
      <c r="AG2" s="7"/>
      <c r="AH2" s="7"/>
      <c r="AI2" s="3" t="s">
        <v>33</v>
      </c>
      <c r="AJ2" s="7" t="s">
        <v>34</v>
      </c>
      <c r="AK2" s="3"/>
      <c r="AL2" cm="1">
        <f t="array" ref="AL2">IF(getColor(V2) = 16777215, 0, 1)</f>
        <v>0</v>
      </c>
    </row>
    <row r="3" spans="1:38">
      <c r="A3" s="1">
        <v>2</v>
      </c>
      <c r="B3" s="3" t="s">
        <v>27</v>
      </c>
      <c r="C3" s="7" t="s">
        <v>28</v>
      </c>
      <c r="D3" s="7" t="s">
        <v>29</v>
      </c>
      <c r="E3" s="8">
        <v>58.29774444444444</v>
      </c>
      <c r="F3" s="8">
        <v>-134.54691111111111</v>
      </c>
      <c r="G3" s="9" t="s">
        <v>30</v>
      </c>
      <c r="H3" s="3" t="s">
        <v>31</v>
      </c>
      <c r="I3" s="3" t="s">
        <v>31</v>
      </c>
      <c r="J3" s="3" t="s">
        <v>31</v>
      </c>
      <c r="K3" s="7" t="s">
        <v>35</v>
      </c>
      <c r="L3" s="9">
        <v>16</v>
      </c>
      <c r="M3" s="9">
        <v>33</v>
      </c>
      <c r="N3" s="9">
        <f t="shared" si="0"/>
        <v>17</v>
      </c>
      <c r="O3" s="37"/>
      <c r="P3" s="37"/>
      <c r="Q3" s="37"/>
      <c r="R3" s="17">
        <v>0</v>
      </c>
      <c r="S3" s="1">
        <v>0.12</v>
      </c>
      <c r="T3" s="1">
        <f t="shared" si="1"/>
        <v>0.12</v>
      </c>
      <c r="U3" s="12">
        <v>0</v>
      </c>
      <c r="V3" s="13">
        <v>50.6</v>
      </c>
      <c r="W3" s="14">
        <f t="shared" ref="W3:W66" si="2">T3*V3/100*N3*100*100*((100-U3)/100)</f>
        <v>10322.4</v>
      </c>
      <c r="X3" s="18"/>
      <c r="Y3" s="14">
        <f>T3*V3/100*N3*100*100*((100-U3)/100)</f>
        <v>10322.4</v>
      </c>
      <c r="Z3" s="3"/>
      <c r="AA3" s="3"/>
      <c r="AB3" s="19"/>
      <c r="AC3" s="20"/>
      <c r="AD3" s="21"/>
      <c r="AE3" s="22"/>
      <c r="AF3" s="3"/>
      <c r="AG3" s="7"/>
      <c r="AH3" s="7"/>
      <c r="AI3" s="3" t="s">
        <v>33</v>
      </c>
      <c r="AJ3" s="7" t="s">
        <v>36</v>
      </c>
      <c r="AK3" s="3"/>
      <c r="AL3" cm="1">
        <f t="array" ref="AL3">IF(getColor(V3) = 16777215, 0, 1)</f>
        <v>0</v>
      </c>
    </row>
    <row r="4" spans="1:38">
      <c r="A4" s="1">
        <v>3</v>
      </c>
      <c r="B4" s="3" t="s">
        <v>27</v>
      </c>
      <c r="C4" s="7" t="s">
        <v>28</v>
      </c>
      <c r="D4" s="7" t="s">
        <v>29</v>
      </c>
      <c r="E4" s="8">
        <v>58.29774444444444</v>
      </c>
      <c r="F4" s="8">
        <v>-134.54691111111111</v>
      </c>
      <c r="G4" s="9" t="s">
        <v>30</v>
      </c>
      <c r="H4" s="3" t="s">
        <v>31</v>
      </c>
      <c r="I4" s="3" t="s">
        <v>31</v>
      </c>
      <c r="J4" s="3" t="s">
        <v>31</v>
      </c>
      <c r="K4" s="7" t="s">
        <v>37</v>
      </c>
      <c r="L4" s="9">
        <v>33</v>
      </c>
      <c r="M4" s="9">
        <v>60</v>
      </c>
      <c r="N4" s="9">
        <f t="shared" si="0"/>
        <v>27</v>
      </c>
      <c r="O4" s="37"/>
      <c r="P4" s="37"/>
      <c r="Q4" s="37"/>
      <c r="R4" s="17">
        <v>0</v>
      </c>
      <c r="S4" s="1">
        <v>0.12</v>
      </c>
      <c r="T4" s="1">
        <f t="shared" si="1"/>
        <v>0.12</v>
      </c>
      <c r="U4" s="12">
        <v>0</v>
      </c>
      <c r="V4" s="13">
        <v>56.11</v>
      </c>
      <c r="W4" s="14">
        <f t="shared" si="2"/>
        <v>18179.64</v>
      </c>
      <c r="X4" s="18"/>
      <c r="Y4" s="14">
        <f>T4*V4/100*N4*100*100*((100-U4)/100)</f>
        <v>18179.64</v>
      </c>
      <c r="Z4" s="3"/>
      <c r="AA4" s="3"/>
      <c r="AB4" s="23"/>
      <c r="AC4" s="24"/>
      <c r="AD4" s="21"/>
      <c r="AE4" s="1"/>
      <c r="AF4" s="3"/>
      <c r="AG4" s="7"/>
      <c r="AH4" s="7"/>
      <c r="AI4" s="3" t="s">
        <v>33</v>
      </c>
      <c r="AJ4" s="7" t="s">
        <v>39</v>
      </c>
      <c r="AK4" s="3"/>
      <c r="AL4" cm="1">
        <f t="array" ref="AL4">IF(getColor(V4) = 16777215, 0, 1)</f>
        <v>0</v>
      </c>
    </row>
    <row r="5" spans="1:38">
      <c r="A5" s="1">
        <v>4</v>
      </c>
      <c r="B5" s="3" t="s">
        <v>27</v>
      </c>
      <c r="C5" s="7" t="s">
        <v>28</v>
      </c>
      <c r="D5" s="7" t="s">
        <v>29</v>
      </c>
      <c r="E5" s="8">
        <v>58.29774444444444</v>
      </c>
      <c r="F5" s="8">
        <v>-134.54691111111111</v>
      </c>
      <c r="G5" s="9" t="s">
        <v>30</v>
      </c>
      <c r="H5" s="3" t="s">
        <v>31</v>
      </c>
      <c r="I5" s="3" t="s">
        <v>31</v>
      </c>
      <c r="J5" s="3" t="s">
        <v>31</v>
      </c>
      <c r="K5" s="7" t="s">
        <v>40</v>
      </c>
      <c r="L5" s="9">
        <v>60</v>
      </c>
      <c r="M5" s="9">
        <v>84</v>
      </c>
      <c r="N5" s="9">
        <f t="shared" si="0"/>
        <v>24</v>
      </c>
      <c r="O5" s="37"/>
      <c r="P5" s="37"/>
      <c r="Q5" s="37"/>
      <c r="R5" s="17">
        <v>0</v>
      </c>
      <c r="S5" s="1">
        <v>0.12</v>
      </c>
      <c r="T5" s="1">
        <f t="shared" si="1"/>
        <v>0.12</v>
      </c>
      <c r="U5" s="12">
        <v>0</v>
      </c>
      <c r="V5" s="13">
        <v>56.39</v>
      </c>
      <c r="W5" s="14">
        <f t="shared" si="2"/>
        <v>16240.320000000003</v>
      </c>
      <c r="X5" s="18"/>
      <c r="Y5" s="14">
        <f>T5*V5/100*N5*100*100*((100-U5)/100)</f>
        <v>16240.320000000003</v>
      </c>
      <c r="Z5" s="3"/>
      <c r="AA5" s="3"/>
      <c r="AB5" s="23"/>
      <c r="AC5" s="24"/>
      <c r="AD5" s="21"/>
      <c r="AE5" s="22"/>
      <c r="AF5" s="3"/>
      <c r="AG5" s="7"/>
      <c r="AH5" s="7"/>
      <c r="AI5" s="3" t="s">
        <v>33</v>
      </c>
      <c r="AJ5" s="7" t="s">
        <v>42</v>
      </c>
      <c r="AK5" s="3"/>
      <c r="AL5" cm="1">
        <f t="array" ref="AL5">IF(getColor(V5) = 16777215, 0, 1)</f>
        <v>0</v>
      </c>
    </row>
    <row r="6" spans="1:38">
      <c r="A6" s="1">
        <v>5</v>
      </c>
      <c r="B6" s="3" t="s">
        <v>27</v>
      </c>
      <c r="C6" s="7" t="s">
        <v>28</v>
      </c>
      <c r="D6" s="7" t="s">
        <v>29</v>
      </c>
      <c r="E6" s="8">
        <v>58.29774444444444</v>
      </c>
      <c r="F6" s="8">
        <v>-134.54691111111111</v>
      </c>
      <c r="G6" s="9" t="s">
        <v>30</v>
      </c>
      <c r="H6" s="3" t="s">
        <v>31</v>
      </c>
      <c r="I6" s="3" t="s">
        <v>31</v>
      </c>
      <c r="J6" s="3" t="s">
        <v>31</v>
      </c>
      <c r="K6" s="7" t="s">
        <v>43</v>
      </c>
      <c r="L6" s="9">
        <v>84</v>
      </c>
      <c r="M6" s="9">
        <v>102</v>
      </c>
      <c r="N6" s="9">
        <f t="shared" si="0"/>
        <v>18</v>
      </c>
      <c r="O6" s="37"/>
      <c r="P6" s="37"/>
      <c r="Q6" s="37"/>
      <c r="R6" s="17">
        <v>0</v>
      </c>
      <c r="S6" s="1">
        <v>0.12</v>
      </c>
      <c r="T6" s="1">
        <f t="shared" si="1"/>
        <v>0.12</v>
      </c>
      <c r="U6" s="12">
        <v>0</v>
      </c>
      <c r="V6" s="13">
        <v>27.82</v>
      </c>
      <c r="W6" s="14">
        <f t="shared" si="2"/>
        <v>6009.119999999999</v>
      </c>
      <c r="X6" s="18"/>
      <c r="Y6" s="14">
        <f>IF(L6&gt;-100,W6-W6*(ABS(M6)-100)/(ABS(M6)-ABS(L6)),0)</f>
        <v>5341.4399999999987</v>
      </c>
      <c r="Z6" s="3"/>
      <c r="AA6" s="3"/>
      <c r="AB6" s="23"/>
      <c r="AC6" s="24"/>
      <c r="AD6" s="21"/>
      <c r="AE6" s="22"/>
      <c r="AF6" s="3"/>
      <c r="AG6" s="7"/>
      <c r="AH6" s="7"/>
      <c r="AI6" s="3" t="s">
        <v>33</v>
      </c>
      <c r="AJ6" s="7" t="s">
        <v>45</v>
      </c>
      <c r="AK6" s="3"/>
      <c r="AL6" cm="1">
        <f t="array" ref="AL6">IF(getColor(V6) = 16777215, 0, 1)</f>
        <v>0</v>
      </c>
    </row>
    <row r="7" spans="1:38">
      <c r="A7" s="1">
        <v>6</v>
      </c>
      <c r="B7" s="3" t="s">
        <v>27</v>
      </c>
      <c r="C7" s="7" t="s">
        <v>28</v>
      </c>
      <c r="D7" s="7" t="s">
        <v>29</v>
      </c>
      <c r="E7" s="8">
        <v>58.29774444444444</v>
      </c>
      <c r="F7" s="8">
        <v>-134.54691111111111</v>
      </c>
      <c r="G7" s="9" t="s">
        <v>30</v>
      </c>
      <c r="H7" s="3" t="s">
        <v>31</v>
      </c>
      <c r="I7" s="3" t="s">
        <v>31</v>
      </c>
      <c r="J7" s="3" t="s">
        <v>31</v>
      </c>
      <c r="K7" s="7" t="s">
        <v>46</v>
      </c>
      <c r="L7" s="9">
        <v>102</v>
      </c>
      <c r="M7" s="9">
        <v>115</v>
      </c>
      <c r="N7" s="9">
        <f t="shared" si="0"/>
        <v>13</v>
      </c>
      <c r="O7" s="37"/>
      <c r="P7" s="37"/>
      <c r="Q7" s="37"/>
      <c r="R7" s="11">
        <v>0.99</v>
      </c>
      <c r="S7" s="1">
        <v>1.71</v>
      </c>
      <c r="T7" s="1">
        <f t="shared" si="1"/>
        <v>0.99</v>
      </c>
      <c r="U7" s="12">
        <v>13</v>
      </c>
      <c r="V7" s="13">
        <v>3.21</v>
      </c>
      <c r="W7" s="14">
        <f t="shared" si="2"/>
        <v>3594.2048999999997</v>
      </c>
      <c r="X7" s="18"/>
      <c r="Y7" s="14">
        <v>0</v>
      </c>
      <c r="Z7" s="3"/>
      <c r="AA7" s="3"/>
      <c r="AB7" s="23"/>
      <c r="AC7" s="24"/>
      <c r="AD7" s="21"/>
      <c r="AE7" s="22"/>
      <c r="AF7" s="3"/>
      <c r="AG7" s="7"/>
      <c r="AH7" s="7"/>
      <c r="AI7" s="3" t="s">
        <v>33</v>
      </c>
      <c r="AJ7" s="7" t="s">
        <v>46</v>
      </c>
      <c r="AK7" s="3"/>
      <c r="AL7" cm="1">
        <f t="array" ref="AL7">IF(getColor(V7) = 16777215, 0, 1)</f>
        <v>0</v>
      </c>
    </row>
    <row r="8" spans="1:38">
      <c r="A8" s="1">
        <v>7</v>
      </c>
      <c r="B8" s="3" t="s">
        <v>27</v>
      </c>
      <c r="C8" s="7" t="s">
        <v>28</v>
      </c>
      <c r="D8" s="7" t="s">
        <v>29</v>
      </c>
      <c r="E8" s="8">
        <v>58.29774444444444</v>
      </c>
      <c r="F8" s="8">
        <v>-134.54691111111111</v>
      </c>
      <c r="G8" s="9" t="s">
        <v>30</v>
      </c>
      <c r="H8" s="3" t="s">
        <v>31</v>
      </c>
      <c r="I8" s="3" t="s">
        <v>31</v>
      </c>
      <c r="J8" s="3" t="s">
        <v>31</v>
      </c>
      <c r="K8" s="7" t="s">
        <v>48</v>
      </c>
      <c r="L8" s="9">
        <v>115</v>
      </c>
      <c r="M8" s="9">
        <v>140</v>
      </c>
      <c r="N8" s="9">
        <f t="shared" si="0"/>
        <v>25</v>
      </c>
      <c r="O8" s="9"/>
      <c r="P8" s="9"/>
      <c r="Q8" s="25"/>
      <c r="R8" s="11">
        <v>0</v>
      </c>
      <c r="S8" s="1">
        <v>1.74</v>
      </c>
      <c r="T8" s="1">
        <f t="shared" si="1"/>
        <v>1.74</v>
      </c>
      <c r="U8" s="12">
        <v>54</v>
      </c>
      <c r="V8" s="13">
        <v>0.53</v>
      </c>
      <c r="W8" s="14">
        <f t="shared" si="2"/>
        <v>1060.5300000000002</v>
      </c>
      <c r="X8" s="18"/>
      <c r="Y8" s="14">
        <v>0</v>
      </c>
      <c r="Z8" s="3"/>
      <c r="AA8" s="3"/>
      <c r="AB8" s="23"/>
      <c r="AC8" s="24"/>
      <c r="AD8" s="26"/>
      <c r="AE8" s="22"/>
      <c r="AF8" s="3"/>
      <c r="AG8" s="7"/>
      <c r="AH8" s="7"/>
      <c r="AI8" s="3" t="s">
        <v>33</v>
      </c>
      <c r="AJ8" s="7" t="s">
        <v>48</v>
      </c>
      <c r="AK8" s="3"/>
      <c r="AL8" cm="1">
        <f t="array" ref="AL8">IF(getColor(V8) = 16777215, 0, 1)</f>
        <v>0</v>
      </c>
    </row>
    <row r="9" spans="1:38">
      <c r="A9" s="1">
        <v>8</v>
      </c>
      <c r="B9" s="3" t="s">
        <v>27</v>
      </c>
      <c r="C9" s="7" t="s">
        <v>50</v>
      </c>
      <c r="D9" s="7" t="s">
        <v>29</v>
      </c>
      <c r="E9" s="8">
        <v>58.297466666666665</v>
      </c>
      <c r="F9" s="8">
        <v>-134.54843888888888</v>
      </c>
      <c r="G9" s="9" t="s">
        <v>30</v>
      </c>
      <c r="H9" s="3" t="s">
        <v>31</v>
      </c>
      <c r="I9" s="3" t="s">
        <v>31</v>
      </c>
      <c r="J9" s="3" t="s">
        <v>31</v>
      </c>
      <c r="K9" s="7" t="s">
        <v>32</v>
      </c>
      <c r="L9" s="9">
        <v>0</v>
      </c>
      <c r="M9" s="9">
        <v>10</v>
      </c>
      <c r="N9" s="9">
        <f t="shared" si="0"/>
        <v>10</v>
      </c>
      <c r="O9" s="10">
        <f>M15-P9</f>
        <v>99</v>
      </c>
      <c r="P9" s="10">
        <f>M12</f>
        <v>51</v>
      </c>
      <c r="Q9" s="10">
        <f>O9+P9</f>
        <v>150</v>
      </c>
      <c r="R9" s="11">
        <v>0</v>
      </c>
      <c r="S9" s="1">
        <v>0.12</v>
      </c>
      <c r="T9" s="1">
        <f t="shared" si="1"/>
        <v>0.12</v>
      </c>
      <c r="U9" s="12">
        <v>0</v>
      </c>
      <c r="V9" s="13">
        <v>43.2</v>
      </c>
      <c r="W9" s="14">
        <f t="shared" si="2"/>
        <v>5184.0000000000009</v>
      </c>
      <c r="X9" s="14">
        <f>SUM(W9:W15)</f>
        <v>23625.801199999998</v>
      </c>
      <c r="Y9" s="14">
        <f>T9*V9/100*N9*100*100*((100-U9)/100)</f>
        <v>5184.0000000000009</v>
      </c>
      <c r="Z9" s="15">
        <f>SUM(Y9:Y15)/10^6*10^4</f>
        <v>223.03661199999999</v>
      </c>
      <c r="AA9" s="16">
        <v>66.904080646689081</v>
      </c>
      <c r="AB9" s="23"/>
      <c r="AC9" s="24"/>
      <c r="AD9" s="21"/>
      <c r="AE9" s="22"/>
      <c r="AF9" s="3"/>
      <c r="AG9" s="7"/>
      <c r="AH9" s="7"/>
      <c r="AI9" s="3" t="s">
        <v>33</v>
      </c>
      <c r="AJ9" s="7" t="s">
        <v>34</v>
      </c>
      <c r="AK9" s="3"/>
      <c r="AL9" cm="1">
        <f t="array" ref="AL9">IF(getColor(V9) = 16777215, 0, 1)</f>
        <v>0</v>
      </c>
    </row>
    <row r="10" spans="1:38">
      <c r="A10" s="1">
        <v>9</v>
      </c>
      <c r="B10" s="3" t="s">
        <v>27</v>
      </c>
      <c r="C10" s="7" t="s">
        <v>50</v>
      </c>
      <c r="D10" s="7" t="s">
        <v>29</v>
      </c>
      <c r="E10" s="8">
        <v>58.297466666666665</v>
      </c>
      <c r="F10" s="8">
        <v>-134.54843888888888</v>
      </c>
      <c r="G10" s="9" t="s">
        <v>30</v>
      </c>
      <c r="H10" s="3" t="s">
        <v>31</v>
      </c>
      <c r="I10" s="3" t="s">
        <v>31</v>
      </c>
      <c r="J10" s="3" t="s">
        <v>31</v>
      </c>
      <c r="K10" s="7" t="s">
        <v>35</v>
      </c>
      <c r="L10" s="9">
        <v>10</v>
      </c>
      <c r="M10" s="9">
        <v>23</v>
      </c>
      <c r="N10" s="9">
        <f t="shared" si="0"/>
        <v>13</v>
      </c>
      <c r="O10" s="9"/>
      <c r="P10" s="9"/>
      <c r="Q10" s="25"/>
      <c r="R10" s="17">
        <v>0</v>
      </c>
      <c r="S10" s="1">
        <v>0.12</v>
      </c>
      <c r="T10" s="1">
        <f t="shared" si="1"/>
        <v>0.12</v>
      </c>
      <c r="U10" s="12">
        <v>0</v>
      </c>
      <c r="V10" s="13">
        <v>27.33</v>
      </c>
      <c r="W10" s="14">
        <f t="shared" si="2"/>
        <v>4263.4799999999996</v>
      </c>
      <c r="X10" s="18"/>
      <c r="Y10" s="14">
        <f>T10*V10/100*N10*100*100*((100-U10)/100)</f>
        <v>4263.4799999999996</v>
      </c>
      <c r="Z10" s="3"/>
      <c r="AA10" s="3"/>
      <c r="AB10" s="23"/>
      <c r="AC10" s="24"/>
      <c r="AD10" s="21"/>
      <c r="AE10" s="1"/>
      <c r="AF10" s="3"/>
      <c r="AG10" s="7"/>
      <c r="AH10" s="7"/>
      <c r="AI10" s="3" t="s">
        <v>33</v>
      </c>
      <c r="AJ10" s="7" t="s">
        <v>36</v>
      </c>
      <c r="AK10" s="3"/>
      <c r="AL10" cm="1">
        <f t="array" ref="AL10">IF(getColor(V10) = 16777215, 0, 1)</f>
        <v>0</v>
      </c>
    </row>
    <row r="11" spans="1:38">
      <c r="A11" s="1">
        <v>10</v>
      </c>
      <c r="B11" s="3" t="s">
        <v>27</v>
      </c>
      <c r="C11" s="7" t="s">
        <v>50</v>
      </c>
      <c r="D11" s="7" t="s">
        <v>29</v>
      </c>
      <c r="E11" s="8">
        <v>58.297466666666665</v>
      </c>
      <c r="F11" s="8">
        <v>-134.54843888888888</v>
      </c>
      <c r="G11" s="9" t="s">
        <v>30</v>
      </c>
      <c r="H11" s="3" t="s">
        <v>31</v>
      </c>
      <c r="I11" s="3" t="s">
        <v>31</v>
      </c>
      <c r="J11" s="3" t="s">
        <v>31</v>
      </c>
      <c r="K11" s="7" t="s">
        <v>37</v>
      </c>
      <c r="L11" s="9">
        <v>23</v>
      </c>
      <c r="M11" s="9">
        <v>31</v>
      </c>
      <c r="N11" s="9">
        <f t="shared" si="0"/>
        <v>8</v>
      </c>
      <c r="O11" s="9"/>
      <c r="P11" s="9"/>
      <c r="Q11" s="25"/>
      <c r="R11" s="17">
        <v>0</v>
      </c>
      <c r="S11" s="1">
        <v>0.12</v>
      </c>
      <c r="T11" s="1">
        <f t="shared" si="1"/>
        <v>0.12</v>
      </c>
      <c r="U11" s="12">
        <v>0</v>
      </c>
      <c r="V11" s="13">
        <v>29.84</v>
      </c>
      <c r="W11" s="14">
        <f t="shared" si="2"/>
        <v>2864.64</v>
      </c>
      <c r="X11" s="18"/>
      <c r="Y11" s="14">
        <f>T11*V11/100*N11*100*100*((100-U11)/100)</f>
        <v>2864.64</v>
      </c>
      <c r="Z11" s="3"/>
      <c r="AA11" s="3"/>
      <c r="AB11" s="23"/>
      <c r="AC11" s="24"/>
      <c r="AD11" s="24"/>
      <c r="AE11" s="1"/>
      <c r="AF11" s="3"/>
      <c r="AG11" s="7"/>
      <c r="AH11" s="7"/>
      <c r="AI11" s="3" t="s">
        <v>33</v>
      </c>
      <c r="AJ11" s="7" t="s">
        <v>39</v>
      </c>
      <c r="AK11" s="3"/>
      <c r="AL11" cm="1">
        <f t="array" ref="AL11">IF(getColor(V11) = 16777215, 0, 1)</f>
        <v>0</v>
      </c>
    </row>
    <row r="12" spans="1:38">
      <c r="A12" s="1">
        <v>11</v>
      </c>
      <c r="B12" s="3" t="s">
        <v>27</v>
      </c>
      <c r="C12" s="7" t="s">
        <v>50</v>
      </c>
      <c r="D12" s="7" t="s">
        <v>29</v>
      </c>
      <c r="E12" s="8">
        <v>58.297466666666665</v>
      </c>
      <c r="F12" s="8">
        <v>-134.54843888888888</v>
      </c>
      <c r="G12" s="9" t="s">
        <v>30</v>
      </c>
      <c r="H12" s="3" t="s">
        <v>31</v>
      </c>
      <c r="I12" s="3" t="s">
        <v>31</v>
      </c>
      <c r="J12" s="3" t="s">
        <v>31</v>
      </c>
      <c r="K12" s="7" t="s">
        <v>54</v>
      </c>
      <c r="L12" s="9">
        <v>31</v>
      </c>
      <c r="M12" s="9">
        <v>51</v>
      </c>
      <c r="N12" s="9">
        <f t="shared" si="0"/>
        <v>20</v>
      </c>
      <c r="O12" s="9"/>
      <c r="P12" s="9"/>
      <c r="Q12" s="25"/>
      <c r="R12" s="17">
        <v>0</v>
      </c>
      <c r="S12" s="1">
        <v>0.12</v>
      </c>
      <c r="T12" s="1">
        <f t="shared" si="1"/>
        <v>0.12</v>
      </c>
      <c r="U12" s="12">
        <v>0</v>
      </c>
      <c r="V12" s="13">
        <v>12.71</v>
      </c>
      <c r="W12" s="14">
        <f t="shared" si="2"/>
        <v>3050.4000000000005</v>
      </c>
      <c r="X12" s="18"/>
      <c r="Y12" s="14">
        <f>T12*V12/100*N12*100*100*((100-U12)/100)</f>
        <v>3050.4000000000005</v>
      </c>
      <c r="Z12" s="3"/>
      <c r="AA12" s="3"/>
      <c r="AB12" s="38"/>
      <c r="AC12" s="38"/>
      <c r="AD12" s="38"/>
      <c r="AE12" s="22"/>
      <c r="AF12" s="3"/>
      <c r="AG12" s="7"/>
      <c r="AH12" s="7"/>
      <c r="AI12" s="3" t="s">
        <v>33</v>
      </c>
      <c r="AJ12" s="7" t="s">
        <v>55</v>
      </c>
      <c r="AK12" s="3"/>
      <c r="AL12" cm="1">
        <f t="array" ref="AL12">IF(getColor(V12) = 16777215, 0, 1)</f>
        <v>0</v>
      </c>
    </row>
    <row r="13" spans="1:38">
      <c r="A13" s="1">
        <v>12</v>
      </c>
      <c r="B13" s="3" t="s">
        <v>27</v>
      </c>
      <c r="C13" s="7" t="s">
        <v>50</v>
      </c>
      <c r="D13" s="7" t="s">
        <v>29</v>
      </c>
      <c r="E13" s="8">
        <v>58.297466666666665</v>
      </c>
      <c r="F13" s="8">
        <v>-134.54843888888888</v>
      </c>
      <c r="G13" s="9" t="s">
        <v>30</v>
      </c>
      <c r="H13" s="3" t="s">
        <v>31</v>
      </c>
      <c r="I13" s="3" t="s">
        <v>31</v>
      </c>
      <c r="J13" s="3" t="s">
        <v>31</v>
      </c>
      <c r="K13" s="7" t="s">
        <v>38</v>
      </c>
      <c r="L13" s="9">
        <v>51</v>
      </c>
      <c r="M13" s="9">
        <v>75</v>
      </c>
      <c r="N13" s="9">
        <f t="shared" si="0"/>
        <v>24</v>
      </c>
      <c r="O13" s="9"/>
      <c r="P13" s="9"/>
      <c r="Q13" s="25"/>
      <c r="R13" s="11">
        <v>1.38</v>
      </c>
      <c r="S13" s="1">
        <v>1.74</v>
      </c>
      <c r="T13" s="1">
        <f t="shared" si="1"/>
        <v>1.38</v>
      </c>
      <c r="U13" s="12">
        <v>38</v>
      </c>
      <c r="V13" s="13">
        <v>2.73</v>
      </c>
      <c r="W13" s="14">
        <f t="shared" si="2"/>
        <v>5605.8911999999991</v>
      </c>
      <c r="X13" s="18"/>
      <c r="Y13" s="14">
        <f>T13*V13/100*N13*100*100*((100-U13)/100)</f>
        <v>5605.8911999999991</v>
      </c>
      <c r="Z13" s="3"/>
      <c r="AA13" s="3"/>
      <c r="AB13" s="38"/>
      <c r="AC13" s="38"/>
      <c r="AD13" s="38"/>
      <c r="AE13" s="22"/>
      <c r="AF13" s="3"/>
      <c r="AG13" s="7"/>
      <c r="AH13" s="7"/>
      <c r="AI13" s="3" t="s">
        <v>33</v>
      </c>
      <c r="AJ13" s="7" t="s">
        <v>38</v>
      </c>
      <c r="AK13" s="3"/>
      <c r="AL13" cm="1">
        <f t="array" ref="AL13">IF(getColor(V13) = 16777215, 0, 1)</f>
        <v>0</v>
      </c>
    </row>
    <row r="14" spans="1:38">
      <c r="A14" s="1">
        <v>13</v>
      </c>
      <c r="B14" s="3" t="s">
        <v>27</v>
      </c>
      <c r="C14" s="7" t="s">
        <v>50</v>
      </c>
      <c r="D14" s="7" t="s">
        <v>29</v>
      </c>
      <c r="E14" s="8">
        <v>58.297466666666665</v>
      </c>
      <c r="F14" s="8">
        <v>-134.54843888888888</v>
      </c>
      <c r="G14" s="9" t="s">
        <v>30</v>
      </c>
      <c r="H14" s="3" t="s">
        <v>31</v>
      </c>
      <c r="I14" s="3" t="s">
        <v>31</v>
      </c>
      <c r="J14" s="3" t="s">
        <v>31</v>
      </c>
      <c r="K14" s="7" t="s">
        <v>48</v>
      </c>
      <c r="L14" s="9">
        <v>75</v>
      </c>
      <c r="M14" s="27">
        <v>110</v>
      </c>
      <c r="N14" s="9">
        <f t="shared" si="0"/>
        <v>35</v>
      </c>
      <c r="O14" s="9"/>
      <c r="P14" s="9"/>
      <c r="Q14" s="25"/>
      <c r="R14" s="11">
        <v>1.75</v>
      </c>
      <c r="S14" s="1">
        <v>1.74</v>
      </c>
      <c r="T14" s="1">
        <f t="shared" si="1"/>
        <v>1.75</v>
      </c>
      <c r="U14" s="12">
        <v>72</v>
      </c>
      <c r="V14" s="13">
        <v>1.0900000000000001</v>
      </c>
      <c r="W14" s="14">
        <f t="shared" si="2"/>
        <v>1869.3500000000001</v>
      </c>
      <c r="X14" s="18"/>
      <c r="Y14" s="14">
        <f>IF(L14&gt;-100,W14-W14*(ABS(M14)-100)/(ABS(M14)-ABS(L14)),0)</f>
        <v>1335.25</v>
      </c>
      <c r="Z14" s="3"/>
      <c r="AA14" s="3"/>
      <c r="AB14" s="38"/>
      <c r="AC14" s="38"/>
      <c r="AD14" s="38"/>
      <c r="AE14" s="22"/>
      <c r="AF14" s="3"/>
      <c r="AG14" s="7"/>
      <c r="AH14" s="7"/>
      <c r="AI14" s="3" t="s">
        <v>33</v>
      </c>
      <c r="AJ14" s="7" t="s">
        <v>48</v>
      </c>
      <c r="AK14" s="3"/>
      <c r="AL14" cm="1">
        <f t="array" ref="AL14">IF(getColor(V14) = 16777215, 0, 1)</f>
        <v>0</v>
      </c>
    </row>
    <row r="15" spans="1:38">
      <c r="A15" s="1">
        <v>14</v>
      </c>
      <c r="B15" s="3" t="s">
        <v>27</v>
      </c>
      <c r="C15" s="7" t="s">
        <v>50</v>
      </c>
      <c r="D15" s="7" t="s">
        <v>29</v>
      </c>
      <c r="E15" s="8">
        <v>58.297466666666665</v>
      </c>
      <c r="F15" s="8">
        <v>-134.54843888888888</v>
      </c>
      <c r="G15" s="9" t="s">
        <v>30</v>
      </c>
      <c r="H15" s="3" t="s">
        <v>31</v>
      </c>
      <c r="I15" s="3" t="s">
        <v>31</v>
      </c>
      <c r="J15" s="3" t="s">
        <v>31</v>
      </c>
      <c r="K15" s="7" t="s">
        <v>56</v>
      </c>
      <c r="L15" s="27">
        <v>120</v>
      </c>
      <c r="M15" s="9">
        <v>150</v>
      </c>
      <c r="N15" s="9">
        <f t="shared" si="0"/>
        <v>30</v>
      </c>
      <c r="O15" s="9"/>
      <c r="P15" s="9"/>
      <c r="Q15" s="25"/>
      <c r="R15" s="11">
        <v>1.99</v>
      </c>
      <c r="S15" s="1">
        <v>1.74</v>
      </c>
      <c r="T15" s="1">
        <f t="shared" si="1"/>
        <v>1.99</v>
      </c>
      <c r="U15" s="12">
        <v>40</v>
      </c>
      <c r="V15" s="13">
        <v>0.22</v>
      </c>
      <c r="W15" s="14">
        <f t="shared" si="2"/>
        <v>788.04000000000008</v>
      </c>
      <c r="X15" s="18"/>
      <c r="Y15" s="14">
        <v>0</v>
      </c>
      <c r="Z15" s="3"/>
      <c r="AA15" s="3"/>
      <c r="AB15" s="38"/>
      <c r="AC15" s="38"/>
      <c r="AD15" s="38"/>
      <c r="AE15" s="22"/>
      <c r="AF15" s="3"/>
      <c r="AG15" s="7"/>
      <c r="AH15" s="7"/>
      <c r="AI15" s="3" t="s">
        <v>33</v>
      </c>
      <c r="AJ15" s="7" t="s">
        <v>56</v>
      </c>
      <c r="AK15" s="3"/>
      <c r="AL15" cm="1">
        <f t="array" ref="AL15">IF(getColor(V15) = 16777215, 0, 1)</f>
        <v>0</v>
      </c>
    </row>
    <row r="16" spans="1:38">
      <c r="A16" s="1">
        <v>15</v>
      </c>
      <c r="B16" s="3" t="s">
        <v>27</v>
      </c>
      <c r="C16" s="7" t="s">
        <v>57</v>
      </c>
      <c r="D16" s="7" t="s">
        <v>58</v>
      </c>
      <c r="E16" s="8">
        <v>58.297327777777774</v>
      </c>
      <c r="F16" s="8">
        <v>-134.54968888888888</v>
      </c>
      <c r="G16" s="9" t="s">
        <v>30</v>
      </c>
      <c r="H16" s="3" t="s">
        <v>31</v>
      </c>
      <c r="I16" s="3" t="s">
        <v>31</v>
      </c>
      <c r="J16" s="3" t="s">
        <v>31</v>
      </c>
      <c r="K16" s="7" t="s">
        <v>49</v>
      </c>
      <c r="L16" s="9">
        <v>0</v>
      </c>
      <c r="M16" s="9">
        <v>16</v>
      </c>
      <c r="N16" s="9">
        <f t="shared" si="0"/>
        <v>16</v>
      </c>
      <c r="O16" s="10">
        <f>M21-P16</f>
        <v>84</v>
      </c>
      <c r="P16" s="10">
        <f>M16</f>
        <v>16</v>
      </c>
      <c r="Q16" s="10">
        <f>O16+P16</f>
        <v>100</v>
      </c>
      <c r="R16" s="11">
        <v>0</v>
      </c>
      <c r="S16" s="1">
        <v>0.08</v>
      </c>
      <c r="T16" s="1">
        <f t="shared" si="1"/>
        <v>0.08</v>
      </c>
      <c r="U16" s="12">
        <v>0</v>
      </c>
      <c r="V16" s="13">
        <v>46.21</v>
      </c>
      <c r="W16" s="14">
        <f t="shared" si="2"/>
        <v>5914.88</v>
      </c>
      <c r="X16" s="14">
        <f>SUM(W16:W21)</f>
        <v>13162.322</v>
      </c>
      <c r="Y16" s="14">
        <f t="shared" ref="Y16:Y79" si="3">T16*V16/100*N16*100*100*((100-U16)/100)</f>
        <v>5914.88</v>
      </c>
      <c r="Z16" s="15">
        <f>SUM(Y16:Y21)/10^6*10^4</f>
        <v>131.62322</v>
      </c>
      <c r="AA16" s="16">
        <v>51.433511540334074</v>
      </c>
      <c r="AB16" s="38"/>
      <c r="AC16" s="38"/>
      <c r="AD16" s="38"/>
      <c r="AE16" s="22"/>
      <c r="AF16" s="3"/>
      <c r="AG16" s="7"/>
      <c r="AH16" s="7"/>
      <c r="AI16" s="3" t="s">
        <v>59</v>
      </c>
      <c r="AJ16" s="7" t="s">
        <v>60</v>
      </c>
      <c r="AK16" s="3"/>
      <c r="AL16" cm="1">
        <f t="array" ref="AL16">IF(getColor(V16) = 16777215, 0, 1)</f>
        <v>0</v>
      </c>
    </row>
    <row r="17" spans="1:38">
      <c r="A17" s="1">
        <v>16</v>
      </c>
      <c r="B17" s="3" t="s">
        <v>27</v>
      </c>
      <c r="C17" s="7" t="s">
        <v>57</v>
      </c>
      <c r="D17" s="7" t="s">
        <v>58</v>
      </c>
      <c r="E17" s="8">
        <v>58.297327777777774</v>
      </c>
      <c r="F17" s="8">
        <v>-134.54968888888888</v>
      </c>
      <c r="G17" s="9" t="s">
        <v>30</v>
      </c>
      <c r="H17" s="3" t="s">
        <v>31</v>
      </c>
      <c r="I17" s="3" t="s">
        <v>31</v>
      </c>
      <c r="J17" s="3" t="s">
        <v>31</v>
      </c>
      <c r="K17" s="7" t="s">
        <v>41</v>
      </c>
      <c r="L17" s="9">
        <v>16</v>
      </c>
      <c r="M17" s="9">
        <v>27</v>
      </c>
      <c r="N17" s="9">
        <f t="shared" si="0"/>
        <v>11</v>
      </c>
      <c r="O17" s="9"/>
      <c r="P17" s="9"/>
      <c r="Q17" s="25"/>
      <c r="R17" s="11">
        <v>1.46</v>
      </c>
      <c r="S17" s="1">
        <v>1.17</v>
      </c>
      <c r="T17" s="1">
        <f t="shared" si="1"/>
        <v>1.46</v>
      </c>
      <c r="U17" s="12">
        <v>48</v>
      </c>
      <c r="V17" s="13">
        <v>2.12</v>
      </c>
      <c r="W17" s="14">
        <f t="shared" si="2"/>
        <v>1770.4543999999999</v>
      </c>
      <c r="X17" s="18"/>
      <c r="Y17" s="14">
        <f t="shared" si="3"/>
        <v>1770.4543999999999</v>
      </c>
      <c r="Z17" s="3"/>
      <c r="AA17" s="3"/>
      <c r="AB17" s="1"/>
      <c r="AC17" s="1"/>
      <c r="AD17" s="1"/>
      <c r="AE17" s="22"/>
      <c r="AF17" s="3"/>
      <c r="AG17" s="7"/>
      <c r="AH17" s="7"/>
      <c r="AI17" s="3" t="s">
        <v>59</v>
      </c>
      <c r="AJ17" s="7" t="s">
        <v>61</v>
      </c>
      <c r="AK17" s="3"/>
      <c r="AL17" cm="1">
        <f t="array" ref="AL17">IF(getColor(V17) = 16777215, 0, 1)</f>
        <v>0</v>
      </c>
    </row>
    <row r="18" spans="1:38">
      <c r="A18" s="1">
        <v>17</v>
      </c>
      <c r="B18" s="3" t="s">
        <v>27</v>
      </c>
      <c r="C18" s="7" t="s">
        <v>57</v>
      </c>
      <c r="D18" s="7" t="s">
        <v>58</v>
      </c>
      <c r="E18" s="8">
        <v>58.297327777777774</v>
      </c>
      <c r="F18" s="8">
        <v>-134.54968888888888</v>
      </c>
      <c r="G18" s="9" t="s">
        <v>30</v>
      </c>
      <c r="H18" s="3" t="s">
        <v>31</v>
      </c>
      <c r="I18" s="3" t="s">
        <v>31</v>
      </c>
      <c r="J18" s="3" t="s">
        <v>31</v>
      </c>
      <c r="K18" s="7" t="s">
        <v>62</v>
      </c>
      <c r="L18" s="9">
        <v>27</v>
      </c>
      <c r="M18" s="9">
        <v>42</v>
      </c>
      <c r="N18" s="9">
        <f t="shared" si="0"/>
        <v>15</v>
      </c>
      <c r="O18" s="9"/>
      <c r="P18" s="9"/>
      <c r="Q18" s="25"/>
      <c r="R18" s="11">
        <v>1.37</v>
      </c>
      <c r="S18" s="1">
        <v>1.71</v>
      </c>
      <c r="T18" s="1">
        <f t="shared" si="1"/>
        <v>1.37</v>
      </c>
      <c r="U18" s="12">
        <v>25</v>
      </c>
      <c r="V18" s="13">
        <v>2.2400000000000002</v>
      </c>
      <c r="W18" s="14">
        <f t="shared" si="2"/>
        <v>3452.4000000000005</v>
      </c>
      <c r="X18" s="18"/>
      <c r="Y18" s="14">
        <f t="shared" si="3"/>
        <v>3452.4000000000005</v>
      </c>
      <c r="Z18" s="3"/>
      <c r="AA18" s="3"/>
      <c r="AB18" s="1"/>
      <c r="AC18" s="1"/>
      <c r="AD18" s="1"/>
      <c r="AE18" s="22"/>
      <c r="AF18" s="3"/>
      <c r="AG18" s="7"/>
      <c r="AH18" s="7"/>
      <c r="AI18" s="3" t="s">
        <v>59</v>
      </c>
      <c r="AJ18" s="7" t="s">
        <v>62</v>
      </c>
      <c r="AK18" s="3"/>
      <c r="AL18" cm="1">
        <f t="array" ref="AL18">IF(getColor(V18) = 16777215, 0, 1)</f>
        <v>0</v>
      </c>
    </row>
    <row r="19" spans="1:38">
      <c r="A19" s="1">
        <v>18</v>
      </c>
      <c r="B19" s="3" t="s">
        <v>27</v>
      </c>
      <c r="C19" s="7" t="s">
        <v>57</v>
      </c>
      <c r="D19" s="7" t="s">
        <v>58</v>
      </c>
      <c r="E19" s="8">
        <v>58.297327777777774</v>
      </c>
      <c r="F19" s="8">
        <v>-134.54968888888888</v>
      </c>
      <c r="G19" s="9" t="s">
        <v>30</v>
      </c>
      <c r="H19" s="3" t="s">
        <v>31</v>
      </c>
      <c r="I19" s="3" t="s">
        <v>31</v>
      </c>
      <c r="J19" s="3" t="s">
        <v>31</v>
      </c>
      <c r="K19" s="7" t="s">
        <v>63</v>
      </c>
      <c r="L19" s="9">
        <v>42</v>
      </c>
      <c r="M19" s="9">
        <v>59</v>
      </c>
      <c r="N19" s="9">
        <f t="shared" si="0"/>
        <v>17</v>
      </c>
      <c r="O19" s="9"/>
      <c r="P19" s="9"/>
      <c r="Q19" s="25"/>
      <c r="R19" s="11">
        <v>1.67</v>
      </c>
      <c r="S19" s="1">
        <v>1.74</v>
      </c>
      <c r="T19" s="1">
        <f t="shared" si="1"/>
        <v>1.67</v>
      </c>
      <c r="U19" s="12">
        <v>47</v>
      </c>
      <c r="V19" s="13">
        <v>0.76</v>
      </c>
      <c r="W19" s="14">
        <f t="shared" si="2"/>
        <v>1143.5491999999999</v>
      </c>
      <c r="X19" s="18"/>
      <c r="Y19" s="14">
        <f t="shared" si="3"/>
        <v>1143.5491999999999</v>
      </c>
      <c r="Z19" s="3"/>
      <c r="AA19" s="3"/>
      <c r="AB19" s="1"/>
      <c r="AC19" s="1"/>
      <c r="AD19" s="1"/>
      <c r="AE19" s="22"/>
      <c r="AF19" s="3"/>
      <c r="AG19" s="7"/>
      <c r="AH19" s="7"/>
      <c r="AI19" s="3" t="s">
        <v>59</v>
      </c>
      <c r="AJ19" s="7" t="s">
        <v>63</v>
      </c>
      <c r="AK19" s="3"/>
      <c r="AL19" cm="1">
        <f t="array" ref="AL19">IF(getColor(V19) = 16777215, 0, 1)</f>
        <v>0</v>
      </c>
    </row>
    <row r="20" spans="1:38">
      <c r="A20" s="1">
        <v>19</v>
      </c>
      <c r="B20" s="3" t="s">
        <v>27</v>
      </c>
      <c r="C20" s="7" t="s">
        <v>57</v>
      </c>
      <c r="D20" s="7" t="s">
        <v>58</v>
      </c>
      <c r="E20" s="8">
        <v>58.297327777777774</v>
      </c>
      <c r="F20" s="8">
        <v>-134.54968888888888</v>
      </c>
      <c r="G20" s="9" t="s">
        <v>30</v>
      </c>
      <c r="H20" s="3" t="s">
        <v>31</v>
      </c>
      <c r="I20" s="3" t="s">
        <v>31</v>
      </c>
      <c r="J20" s="3" t="s">
        <v>31</v>
      </c>
      <c r="K20" s="7" t="s">
        <v>64</v>
      </c>
      <c r="L20" s="9">
        <v>59</v>
      </c>
      <c r="M20" s="9">
        <v>71</v>
      </c>
      <c r="N20" s="9">
        <f t="shared" si="0"/>
        <v>12</v>
      </c>
      <c r="O20" s="9"/>
      <c r="P20" s="9"/>
      <c r="Q20" s="25"/>
      <c r="R20" s="11">
        <v>1.82</v>
      </c>
      <c r="S20" s="1">
        <v>1.74</v>
      </c>
      <c r="T20" s="1">
        <f t="shared" si="1"/>
        <v>1.82</v>
      </c>
      <c r="U20" s="12">
        <v>53</v>
      </c>
      <c r="V20" s="13">
        <v>0.33</v>
      </c>
      <c r="W20" s="14">
        <f t="shared" si="2"/>
        <v>338.73839999999996</v>
      </c>
      <c r="X20" s="18"/>
      <c r="Y20" s="14">
        <f t="shared" si="3"/>
        <v>338.73839999999996</v>
      </c>
      <c r="Z20" s="3"/>
      <c r="AA20" s="3"/>
      <c r="AB20" s="1"/>
      <c r="AC20" s="1"/>
      <c r="AD20" s="1"/>
      <c r="AE20" s="22"/>
      <c r="AF20" s="3"/>
      <c r="AG20" s="7"/>
      <c r="AH20" s="7"/>
      <c r="AI20" s="3" t="s">
        <v>59</v>
      </c>
      <c r="AJ20" s="7" t="s">
        <v>64</v>
      </c>
      <c r="AK20" s="3"/>
      <c r="AL20" cm="1">
        <f t="array" ref="AL20">IF(getColor(V20) = 16777215, 0, 1)</f>
        <v>0</v>
      </c>
    </row>
    <row r="21" spans="1:38">
      <c r="A21" s="1">
        <v>20</v>
      </c>
      <c r="B21" s="3" t="s">
        <v>27</v>
      </c>
      <c r="C21" s="7" t="s">
        <v>57</v>
      </c>
      <c r="D21" s="7" t="s">
        <v>58</v>
      </c>
      <c r="E21" s="8">
        <v>58.297327777777774</v>
      </c>
      <c r="F21" s="8">
        <v>-134.54968888888888</v>
      </c>
      <c r="G21" s="9" t="s">
        <v>30</v>
      </c>
      <c r="H21" s="3" t="s">
        <v>31</v>
      </c>
      <c r="I21" s="3" t="s">
        <v>31</v>
      </c>
      <c r="J21" s="3" t="s">
        <v>31</v>
      </c>
      <c r="K21" s="7" t="s">
        <v>48</v>
      </c>
      <c r="L21" s="9">
        <v>71</v>
      </c>
      <c r="M21" s="9">
        <v>100</v>
      </c>
      <c r="N21" s="9">
        <f t="shared" si="0"/>
        <v>29</v>
      </c>
      <c r="O21" s="9"/>
      <c r="P21" s="9"/>
      <c r="Q21" s="25"/>
      <c r="R21" s="11">
        <v>2</v>
      </c>
      <c r="S21" s="1">
        <v>1.74</v>
      </c>
      <c r="T21" s="1">
        <f t="shared" si="1"/>
        <v>2</v>
      </c>
      <c r="U21" s="12">
        <v>45</v>
      </c>
      <c r="V21" s="13">
        <v>0.17</v>
      </c>
      <c r="W21" s="14">
        <f t="shared" si="2"/>
        <v>542.30000000000007</v>
      </c>
      <c r="X21" s="18"/>
      <c r="Y21" s="14">
        <f t="shared" si="3"/>
        <v>542.30000000000007</v>
      </c>
      <c r="Z21" s="3"/>
      <c r="AA21" s="3"/>
      <c r="AB21" s="1"/>
      <c r="AC21" s="1"/>
      <c r="AD21" s="1"/>
      <c r="AE21" s="1"/>
      <c r="AF21" s="3"/>
      <c r="AG21" s="7"/>
      <c r="AH21" s="7"/>
      <c r="AI21" s="3" t="s">
        <v>59</v>
      </c>
      <c r="AJ21" s="7" t="s">
        <v>48</v>
      </c>
      <c r="AK21" s="3"/>
      <c r="AL21" cm="1">
        <f t="array" ref="AL21">IF(getColor(V21) = 16777215, 0, 1)</f>
        <v>0</v>
      </c>
    </row>
    <row r="22" spans="1:38">
      <c r="A22" s="1">
        <v>21</v>
      </c>
      <c r="B22" s="3" t="s">
        <v>27</v>
      </c>
      <c r="C22" s="7" t="s">
        <v>65</v>
      </c>
      <c r="D22" s="7" t="s">
        <v>66</v>
      </c>
      <c r="E22" s="8">
        <v>58.297049999999999</v>
      </c>
      <c r="F22" s="8">
        <v>-134.55097222222224</v>
      </c>
      <c r="G22" s="9" t="s">
        <v>30</v>
      </c>
      <c r="H22" s="3" t="s">
        <v>31</v>
      </c>
      <c r="I22" s="3" t="s">
        <v>31</v>
      </c>
      <c r="J22" s="3" t="s">
        <v>31</v>
      </c>
      <c r="K22" s="7" t="s">
        <v>51</v>
      </c>
      <c r="L22" s="9">
        <v>0</v>
      </c>
      <c r="M22" s="9">
        <v>7</v>
      </c>
      <c r="N22" s="9">
        <f t="shared" si="0"/>
        <v>7</v>
      </c>
      <c r="O22" s="10">
        <f>M27-P22</f>
        <v>65</v>
      </c>
      <c r="P22" s="10">
        <f>M22</f>
        <v>7</v>
      </c>
      <c r="Q22" s="10">
        <f>O22+P22</f>
        <v>72</v>
      </c>
      <c r="R22" s="11">
        <v>0</v>
      </c>
      <c r="S22" s="1">
        <v>0.12</v>
      </c>
      <c r="T22" s="1">
        <f t="shared" si="1"/>
        <v>0.12</v>
      </c>
      <c r="U22" s="12">
        <v>0</v>
      </c>
      <c r="V22" s="13">
        <v>44.75</v>
      </c>
      <c r="W22" s="14">
        <f t="shared" si="2"/>
        <v>3759.0000000000005</v>
      </c>
      <c r="X22" s="14">
        <f>SUM(W22:W27)</f>
        <v>22608.497200000002</v>
      </c>
      <c r="Y22" s="14">
        <f t="shared" si="3"/>
        <v>3759.0000000000005</v>
      </c>
      <c r="Z22" s="15">
        <f>SUM(Y22:Y27)/10^6*10^4</f>
        <v>226.08497200000002</v>
      </c>
      <c r="AA22" s="16">
        <v>36.722455683388475</v>
      </c>
      <c r="AB22" s="1"/>
      <c r="AC22" s="1"/>
      <c r="AD22" s="1"/>
      <c r="AE22" s="1"/>
      <c r="AF22" s="3"/>
      <c r="AG22" s="7"/>
      <c r="AH22" s="7"/>
      <c r="AI22" s="3" t="s">
        <v>59</v>
      </c>
      <c r="AJ22" s="7" t="s">
        <v>67</v>
      </c>
      <c r="AK22" s="3"/>
      <c r="AL22" cm="1">
        <f t="array" ref="AL22">IF(getColor(V22) = 16777215, 0, 1)</f>
        <v>0</v>
      </c>
    </row>
    <row r="23" spans="1:38">
      <c r="A23" s="1">
        <v>22</v>
      </c>
      <c r="B23" s="3" t="s">
        <v>27</v>
      </c>
      <c r="C23" s="7" t="s">
        <v>65</v>
      </c>
      <c r="D23" s="7" t="s">
        <v>66</v>
      </c>
      <c r="E23" s="8">
        <v>58.297049999999999</v>
      </c>
      <c r="F23" s="8">
        <v>-134.55097222222224</v>
      </c>
      <c r="G23" s="9" t="s">
        <v>30</v>
      </c>
      <c r="H23" s="3" t="s">
        <v>31</v>
      </c>
      <c r="I23" s="3" t="s">
        <v>31</v>
      </c>
      <c r="J23" s="3" t="s">
        <v>31</v>
      </c>
      <c r="K23" s="7" t="s">
        <v>47</v>
      </c>
      <c r="L23" s="9">
        <v>7</v>
      </c>
      <c r="M23" s="9">
        <v>11</v>
      </c>
      <c r="N23" s="9">
        <f t="shared" si="0"/>
        <v>4</v>
      </c>
      <c r="O23" s="9"/>
      <c r="P23" s="9"/>
      <c r="Q23" s="25"/>
      <c r="R23" s="17">
        <v>0</v>
      </c>
      <c r="S23" s="1">
        <v>0.93</v>
      </c>
      <c r="T23" s="1">
        <f t="shared" si="1"/>
        <v>0.93</v>
      </c>
      <c r="U23" s="12">
        <v>12</v>
      </c>
      <c r="V23" s="13">
        <v>11.05</v>
      </c>
      <c r="W23" s="14">
        <f t="shared" si="2"/>
        <v>3617.3280000000004</v>
      </c>
      <c r="X23" s="18"/>
      <c r="Y23" s="14">
        <f t="shared" si="3"/>
        <v>3617.3280000000004</v>
      </c>
      <c r="Z23" s="3"/>
      <c r="AA23" s="3"/>
      <c r="AB23" s="1"/>
      <c r="AC23" s="1"/>
      <c r="AD23" s="1"/>
      <c r="AE23" s="1"/>
      <c r="AF23" s="3"/>
      <c r="AG23" s="7"/>
      <c r="AH23" s="7"/>
      <c r="AI23" s="3" t="s">
        <v>59</v>
      </c>
      <c r="AJ23" s="7" t="s">
        <v>47</v>
      </c>
      <c r="AK23" s="3"/>
      <c r="AL23" cm="1">
        <f t="array" ref="AL23">IF(getColor(V23) = 16777215, 0, 1)</f>
        <v>0</v>
      </c>
    </row>
    <row r="24" spans="1:38">
      <c r="A24" s="1">
        <v>23</v>
      </c>
      <c r="B24" s="3" t="s">
        <v>27</v>
      </c>
      <c r="C24" s="7" t="s">
        <v>65</v>
      </c>
      <c r="D24" s="7" t="s">
        <v>66</v>
      </c>
      <c r="E24" s="8">
        <v>58.297049999999999</v>
      </c>
      <c r="F24" s="8">
        <v>-134.55097222222224</v>
      </c>
      <c r="G24" s="9" t="s">
        <v>30</v>
      </c>
      <c r="H24" s="3" t="s">
        <v>31</v>
      </c>
      <c r="I24" s="3" t="s">
        <v>31</v>
      </c>
      <c r="J24" s="3" t="s">
        <v>31</v>
      </c>
      <c r="K24" s="7" t="s">
        <v>68</v>
      </c>
      <c r="L24" s="9">
        <v>11</v>
      </c>
      <c r="M24" s="9">
        <v>15</v>
      </c>
      <c r="N24" s="9">
        <f t="shared" si="0"/>
        <v>4</v>
      </c>
      <c r="O24" s="9"/>
      <c r="P24" s="9"/>
      <c r="Q24" s="25"/>
      <c r="R24" s="17">
        <v>0</v>
      </c>
      <c r="S24" s="1">
        <v>0.86</v>
      </c>
      <c r="T24" s="1">
        <f t="shared" si="1"/>
        <v>0.86</v>
      </c>
      <c r="U24" s="12">
        <v>4</v>
      </c>
      <c r="V24" s="13">
        <v>12.02</v>
      </c>
      <c r="W24" s="14">
        <f t="shared" si="2"/>
        <v>3969.4848000000002</v>
      </c>
      <c r="X24" s="18"/>
      <c r="Y24" s="14">
        <f t="shared" si="3"/>
        <v>3969.4848000000002</v>
      </c>
      <c r="Z24" s="3"/>
      <c r="AA24" s="3"/>
      <c r="AB24" s="1"/>
      <c r="AC24" s="1"/>
      <c r="AD24" s="1"/>
      <c r="AE24" s="1"/>
      <c r="AF24" s="3"/>
      <c r="AG24" s="7"/>
      <c r="AH24" s="7"/>
      <c r="AI24" s="3" t="s">
        <v>59</v>
      </c>
      <c r="AJ24" s="7" t="s">
        <v>68</v>
      </c>
      <c r="AK24" s="3"/>
      <c r="AL24" cm="1">
        <f t="array" ref="AL24">IF(getColor(V24) = 16777215, 0, 1)</f>
        <v>0</v>
      </c>
    </row>
    <row r="25" spans="1:38">
      <c r="A25" s="1">
        <v>24</v>
      </c>
      <c r="B25" s="3" t="s">
        <v>27</v>
      </c>
      <c r="C25" s="7" t="s">
        <v>65</v>
      </c>
      <c r="D25" s="7" t="s">
        <v>66</v>
      </c>
      <c r="E25" s="8">
        <v>58.297049999999999</v>
      </c>
      <c r="F25" s="8">
        <v>-134.55097222222224</v>
      </c>
      <c r="G25" s="9" t="s">
        <v>30</v>
      </c>
      <c r="H25" s="3" t="s">
        <v>31</v>
      </c>
      <c r="I25" s="3" t="s">
        <v>31</v>
      </c>
      <c r="J25" s="3" t="s">
        <v>31</v>
      </c>
      <c r="K25" s="7" t="s">
        <v>69</v>
      </c>
      <c r="L25" s="9">
        <v>15</v>
      </c>
      <c r="M25" s="9">
        <v>20</v>
      </c>
      <c r="N25" s="9">
        <f t="shared" si="0"/>
        <v>5</v>
      </c>
      <c r="O25" s="9"/>
      <c r="P25" s="9"/>
      <c r="Q25" s="25"/>
      <c r="R25" s="11">
        <v>0.68</v>
      </c>
      <c r="S25" s="1">
        <v>1.17</v>
      </c>
      <c r="T25" s="1">
        <f t="shared" si="1"/>
        <v>0.68</v>
      </c>
      <c r="U25" s="12">
        <v>6</v>
      </c>
      <c r="V25" s="13">
        <v>5.28</v>
      </c>
      <c r="W25" s="14">
        <f t="shared" si="2"/>
        <v>1687.4880000000001</v>
      </c>
      <c r="X25" s="18"/>
      <c r="Y25" s="14">
        <f t="shared" si="3"/>
        <v>1687.4880000000001</v>
      </c>
      <c r="Z25" s="3"/>
      <c r="AA25" s="3"/>
      <c r="AB25" s="28"/>
      <c r="AC25" s="28"/>
      <c r="AD25" s="28"/>
      <c r="AE25" s="1"/>
      <c r="AF25" s="3"/>
      <c r="AG25" s="7"/>
      <c r="AH25" s="7"/>
      <c r="AI25" s="3" t="s">
        <v>59</v>
      </c>
      <c r="AJ25" s="7" t="s">
        <v>70</v>
      </c>
      <c r="AK25" s="3"/>
      <c r="AL25" cm="1">
        <f t="array" ref="AL25">IF(getColor(V25) = 16777215, 0, 1)</f>
        <v>0</v>
      </c>
    </row>
    <row r="26" spans="1:38">
      <c r="A26" s="1">
        <v>25</v>
      </c>
      <c r="B26" s="3" t="s">
        <v>27</v>
      </c>
      <c r="C26" s="7" t="s">
        <v>65</v>
      </c>
      <c r="D26" s="7" t="s">
        <v>66</v>
      </c>
      <c r="E26" s="8">
        <v>58.297049999999999</v>
      </c>
      <c r="F26" s="8">
        <v>-134.55097222222224</v>
      </c>
      <c r="G26" s="9" t="s">
        <v>30</v>
      </c>
      <c r="H26" s="3" t="s">
        <v>31</v>
      </c>
      <c r="I26" s="3" t="s">
        <v>31</v>
      </c>
      <c r="J26" s="3" t="s">
        <v>31</v>
      </c>
      <c r="K26" s="7" t="s">
        <v>71</v>
      </c>
      <c r="L26" s="9">
        <v>20</v>
      </c>
      <c r="M26" s="9">
        <v>39</v>
      </c>
      <c r="N26" s="9">
        <f t="shared" si="0"/>
        <v>19</v>
      </c>
      <c r="O26" s="9"/>
      <c r="P26" s="9"/>
      <c r="Q26" s="25"/>
      <c r="R26" s="11">
        <v>1.54</v>
      </c>
      <c r="S26" s="1">
        <v>1.17</v>
      </c>
      <c r="T26" s="1">
        <f t="shared" si="1"/>
        <v>1.54</v>
      </c>
      <c r="U26" s="12">
        <v>23</v>
      </c>
      <c r="V26" s="13">
        <v>3.62</v>
      </c>
      <c r="W26" s="14">
        <f t="shared" si="2"/>
        <v>8155.9323999999997</v>
      </c>
      <c r="X26" s="18"/>
      <c r="Y26" s="14">
        <f t="shared" si="3"/>
        <v>8155.9323999999997</v>
      </c>
      <c r="Z26" s="3"/>
      <c r="AA26" s="3"/>
      <c r="AB26" s="5"/>
      <c r="AC26" s="1"/>
      <c r="AD26" s="28"/>
      <c r="AE26" s="1"/>
      <c r="AF26" s="3"/>
      <c r="AG26" s="7"/>
      <c r="AH26" s="7"/>
      <c r="AI26" s="3" t="s">
        <v>59</v>
      </c>
      <c r="AJ26" s="7" t="s">
        <v>72</v>
      </c>
      <c r="AK26" s="3"/>
      <c r="AL26" cm="1">
        <f t="array" ref="AL26">IF(getColor(V26) = 16777215, 0, 1)</f>
        <v>0</v>
      </c>
    </row>
    <row r="27" spans="1:38">
      <c r="A27" s="1">
        <v>26</v>
      </c>
      <c r="B27" s="3" t="s">
        <v>27</v>
      </c>
      <c r="C27" s="7" t="s">
        <v>65</v>
      </c>
      <c r="D27" s="7" t="s">
        <v>66</v>
      </c>
      <c r="E27" s="8">
        <v>58.297049999999999</v>
      </c>
      <c r="F27" s="8">
        <v>-134.55097222222224</v>
      </c>
      <c r="G27" s="9" t="s">
        <v>30</v>
      </c>
      <c r="H27" s="3" t="s">
        <v>31</v>
      </c>
      <c r="I27" s="3" t="s">
        <v>31</v>
      </c>
      <c r="J27" s="3" t="s">
        <v>31</v>
      </c>
      <c r="K27" s="7" t="s">
        <v>44</v>
      </c>
      <c r="L27" s="9">
        <v>39</v>
      </c>
      <c r="M27" s="9">
        <v>72</v>
      </c>
      <c r="N27" s="9">
        <f t="shared" si="0"/>
        <v>33</v>
      </c>
      <c r="O27" s="9"/>
      <c r="P27" s="9"/>
      <c r="Q27" s="25"/>
      <c r="R27" s="11">
        <v>1.92</v>
      </c>
      <c r="S27" s="1">
        <v>1.74</v>
      </c>
      <c r="T27" s="1">
        <f t="shared" si="1"/>
        <v>1.92</v>
      </c>
      <c r="U27" s="12">
        <v>44</v>
      </c>
      <c r="V27" s="13">
        <v>0.4</v>
      </c>
      <c r="W27" s="14">
        <f t="shared" si="2"/>
        <v>1419.2640000000001</v>
      </c>
      <c r="X27" s="18"/>
      <c r="Y27" s="14">
        <f t="shared" si="3"/>
        <v>1419.2640000000001</v>
      </c>
      <c r="Z27" s="3"/>
      <c r="AA27" s="3"/>
      <c r="AB27" s="5"/>
      <c r="AC27" s="1"/>
      <c r="AD27" s="28"/>
      <c r="AE27" s="1"/>
      <c r="AF27" s="3"/>
      <c r="AG27" s="7"/>
      <c r="AH27" s="7"/>
      <c r="AI27" s="3" t="s">
        <v>59</v>
      </c>
      <c r="AJ27" s="7" t="s">
        <v>44</v>
      </c>
      <c r="AK27" s="3"/>
      <c r="AL27" cm="1">
        <f t="array" ref="AL27">IF(getColor(V27) = 16777215, 0, 1)</f>
        <v>0</v>
      </c>
    </row>
    <row r="28" spans="1:38">
      <c r="A28" s="1">
        <v>27</v>
      </c>
      <c r="B28" s="3" t="s">
        <v>27</v>
      </c>
      <c r="C28" s="7" t="s">
        <v>73</v>
      </c>
      <c r="D28" s="7" t="s">
        <v>74</v>
      </c>
      <c r="E28" s="8">
        <v>58.395800000000001</v>
      </c>
      <c r="F28" s="8">
        <v>-134.56166666666667</v>
      </c>
      <c r="G28" s="9" t="s">
        <v>30</v>
      </c>
      <c r="H28" s="3" t="s">
        <v>31</v>
      </c>
      <c r="I28" s="3" t="s">
        <v>31</v>
      </c>
      <c r="J28" s="3" t="s">
        <v>31</v>
      </c>
      <c r="K28" s="7" t="s">
        <v>49</v>
      </c>
      <c r="L28" s="9">
        <v>7</v>
      </c>
      <c r="M28" s="9">
        <v>4</v>
      </c>
      <c r="N28" s="9">
        <f t="shared" si="0"/>
        <v>3</v>
      </c>
      <c r="O28" s="29">
        <f>M35</f>
        <v>93</v>
      </c>
      <c r="P28" s="29">
        <f>L28</f>
        <v>7</v>
      </c>
      <c r="Q28" s="29">
        <f>P28+O28</f>
        <v>100</v>
      </c>
      <c r="R28" s="11">
        <v>0</v>
      </c>
      <c r="S28" s="1">
        <v>0.08</v>
      </c>
      <c r="T28" s="1">
        <f t="shared" si="1"/>
        <v>0.08</v>
      </c>
      <c r="U28" s="12">
        <v>0</v>
      </c>
      <c r="V28" s="13">
        <v>51.712180000000004</v>
      </c>
      <c r="W28" s="14">
        <f t="shared" si="2"/>
        <v>1241.0923200000002</v>
      </c>
      <c r="X28" s="14">
        <f>SUM(W28:W35)</f>
        <v>7827.0200886951252</v>
      </c>
      <c r="Y28" s="14">
        <f t="shared" si="3"/>
        <v>1241.0923200000002</v>
      </c>
      <c r="Z28" s="15">
        <f>SUM(Y28:Y35)/10^6*10^4</f>
        <v>78.270200886951244</v>
      </c>
      <c r="AA28" s="16">
        <v>24.584605032147376</v>
      </c>
      <c r="AB28" s="5"/>
      <c r="AC28" s="1"/>
      <c r="AD28" s="28"/>
      <c r="AE28" s="1"/>
      <c r="AF28" s="3"/>
      <c r="AG28" s="7"/>
      <c r="AH28" s="7"/>
      <c r="AI28" s="3" t="s">
        <v>75</v>
      </c>
      <c r="AJ28" s="7" t="s">
        <v>60</v>
      </c>
      <c r="AK28" s="3"/>
      <c r="AL28" cm="1">
        <f t="array" ref="AL28">IF(getColor(V28) = 16777215, 0, 1)</f>
        <v>0</v>
      </c>
    </row>
    <row r="29" spans="1:38">
      <c r="A29" s="1">
        <v>28</v>
      </c>
      <c r="B29" s="3" t="s">
        <v>27</v>
      </c>
      <c r="C29" s="7" t="s">
        <v>73</v>
      </c>
      <c r="D29" s="7" t="s">
        <v>74</v>
      </c>
      <c r="E29" s="8">
        <v>58.395800000000001</v>
      </c>
      <c r="F29" s="8">
        <v>-134.56166666666667</v>
      </c>
      <c r="G29" s="9" t="s">
        <v>30</v>
      </c>
      <c r="H29" s="3" t="s">
        <v>31</v>
      </c>
      <c r="I29" s="3" t="s">
        <v>31</v>
      </c>
      <c r="J29" s="3" t="s">
        <v>31</v>
      </c>
      <c r="K29" s="7" t="s">
        <v>51</v>
      </c>
      <c r="L29" s="9">
        <v>4</v>
      </c>
      <c r="M29" s="9">
        <v>2</v>
      </c>
      <c r="N29" s="9">
        <f t="shared" si="0"/>
        <v>2</v>
      </c>
      <c r="O29" s="9"/>
      <c r="P29" s="9"/>
      <c r="Q29" s="25"/>
      <c r="R29" s="11">
        <v>0</v>
      </c>
      <c r="S29" s="1">
        <v>0.12</v>
      </c>
      <c r="T29" s="1">
        <f t="shared" si="1"/>
        <v>0.12</v>
      </c>
      <c r="U29" s="12">
        <v>0</v>
      </c>
      <c r="V29" s="13">
        <v>51.461149999999996</v>
      </c>
      <c r="W29" s="14">
        <f t="shared" si="2"/>
        <v>1235.0675999999999</v>
      </c>
      <c r="X29" s="25"/>
      <c r="Y29" s="14">
        <f t="shared" si="3"/>
        <v>1235.0675999999999</v>
      </c>
      <c r="Z29" s="3"/>
      <c r="AA29" s="3"/>
      <c r="AB29" s="5"/>
      <c r="AC29" s="5"/>
      <c r="AD29" s="28"/>
      <c r="AE29" s="1"/>
      <c r="AF29" s="3"/>
      <c r="AG29" s="7"/>
      <c r="AH29" s="7"/>
      <c r="AI29" s="3" t="s">
        <v>75</v>
      </c>
      <c r="AJ29" s="7" t="s">
        <v>67</v>
      </c>
      <c r="AK29" s="3"/>
      <c r="AL29" cm="1">
        <f t="array" ref="AL29">IF(getColor(V29) = 16777215, 0, 1)</f>
        <v>0</v>
      </c>
    </row>
    <row r="30" spans="1:38">
      <c r="A30" s="1">
        <v>29</v>
      </c>
      <c r="B30" s="3" t="s">
        <v>27</v>
      </c>
      <c r="C30" s="7" t="s">
        <v>73</v>
      </c>
      <c r="D30" s="7" t="s">
        <v>74</v>
      </c>
      <c r="E30" s="8">
        <v>58.395800000000001</v>
      </c>
      <c r="F30" s="8">
        <v>-134.56166666666667</v>
      </c>
      <c r="G30" s="9" t="s">
        <v>30</v>
      </c>
      <c r="H30" s="3" t="s">
        <v>31</v>
      </c>
      <c r="I30" s="3" t="s">
        <v>31</v>
      </c>
      <c r="J30" s="3" t="s">
        <v>31</v>
      </c>
      <c r="K30" s="7" t="s">
        <v>52</v>
      </c>
      <c r="L30" s="9">
        <v>2</v>
      </c>
      <c r="M30" s="9">
        <v>0</v>
      </c>
      <c r="N30" s="9">
        <f t="shared" si="0"/>
        <v>2</v>
      </c>
      <c r="O30" s="9"/>
      <c r="P30" s="9"/>
      <c r="Q30" s="25"/>
      <c r="R30" s="11">
        <v>0</v>
      </c>
      <c r="S30" s="1">
        <v>0.15</v>
      </c>
      <c r="T30" s="1">
        <f t="shared" si="1"/>
        <v>0.15</v>
      </c>
      <c r="U30" s="12">
        <v>0</v>
      </c>
      <c r="V30" s="13">
        <v>51.441839999999999</v>
      </c>
      <c r="W30" s="14">
        <f t="shared" si="2"/>
        <v>1543.2551999999998</v>
      </c>
      <c r="X30" s="25"/>
      <c r="Y30" s="14">
        <f t="shared" si="3"/>
        <v>1543.2551999999998</v>
      </c>
      <c r="Z30" s="3"/>
      <c r="AA30" s="3"/>
      <c r="AB30" s="5"/>
      <c r="AC30" s="1"/>
      <c r="AD30" s="28"/>
      <c r="AE30" s="1"/>
      <c r="AF30" s="3"/>
      <c r="AG30" s="7"/>
      <c r="AH30" s="7"/>
      <c r="AI30" s="3" t="s">
        <v>75</v>
      </c>
      <c r="AJ30" s="7" t="s">
        <v>76</v>
      </c>
      <c r="AK30" s="3"/>
      <c r="AL30" cm="1">
        <f t="array" ref="AL30">IF(getColor(V30) = 16777215, 0, 1)</f>
        <v>0</v>
      </c>
    </row>
    <row r="31" spans="1:38">
      <c r="A31" s="1">
        <v>30</v>
      </c>
      <c r="B31" s="3" t="s">
        <v>27</v>
      </c>
      <c r="C31" s="7" t="s">
        <v>73</v>
      </c>
      <c r="D31" s="7" t="s">
        <v>74</v>
      </c>
      <c r="E31" s="8">
        <v>58.395800000000001</v>
      </c>
      <c r="F31" s="8">
        <v>-134.56166666666667</v>
      </c>
      <c r="G31" s="9" t="s">
        <v>30</v>
      </c>
      <c r="H31" s="3" t="s">
        <v>31</v>
      </c>
      <c r="I31" s="3" t="s">
        <v>31</v>
      </c>
      <c r="J31" s="3" t="s">
        <v>31</v>
      </c>
      <c r="K31" s="7" t="s">
        <v>47</v>
      </c>
      <c r="L31" s="9">
        <v>0</v>
      </c>
      <c r="M31" s="9">
        <v>4</v>
      </c>
      <c r="N31" s="9">
        <f t="shared" si="0"/>
        <v>4</v>
      </c>
      <c r="O31" s="9"/>
      <c r="P31" s="9"/>
      <c r="Q31" s="25"/>
      <c r="R31" s="11">
        <v>0</v>
      </c>
      <c r="S31" s="1">
        <v>1.31</v>
      </c>
      <c r="T31" s="1">
        <f t="shared" si="1"/>
        <v>1.31</v>
      </c>
      <c r="U31" s="12">
        <v>23.170152091254756</v>
      </c>
      <c r="V31" s="13">
        <v>5.76</v>
      </c>
      <c r="W31" s="14">
        <f t="shared" si="2"/>
        <v>2318.909201520913</v>
      </c>
      <c r="X31" s="18"/>
      <c r="Y31" s="14">
        <f t="shared" si="3"/>
        <v>2318.909201520913</v>
      </c>
      <c r="Z31" s="3"/>
      <c r="AA31" s="3"/>
      <c r="AB31" s="5"/>
      <c r="AC31" s="1"/>
      <c r="AD31" s="28"/>
      <c r="AE31" s="1"/>
      <c r="AF31" s="3"/>
      <c r="AG31" s="7"/>
      <c r="AH31" s="7"/>
      <c r="AI31" s="3" t="s">
        <v>75</v>
      </c>
      <c r="AJ31" s="7" t="s">
        <v>47</v>
      </c>
      <c r="AK31" s="3"/>
      <c r="AL31" cm="1">
        <f t="array" ref="AL31">IF(getColor(V31) = 16777215, 0, 1)</f>
        <v>0</v>
      </c>
    </row>
    <row r="32" spans="1:38">
      <c r="A32" s="1">
        <v>31</v>
      </c>
      <c r="B32" s="3" t="s">
        <v>27</v>
      </c>
      <c r="C32" s="7" t="s">
        <v>73</v>
      </c>
      <c r="D32" s="7" t="s">
        <v>74</v>
      </c>
      <c r="E32" s="8">
        <v>58.395800000000001</v>
      </c>
      <c r="F32" s="8">
        <v>-134.56166666666667</v>
      </c>
      <c r="G32" s="9" t="s">
        <v>30</v>
      </c>
      <c r="H32" s="3" t="s">
        <v>31</v>
      </c>
      <c r="I32" s="3" t="s">
        <v>31</v>
      </c>
      <c r="J32" s="3" t="s">
        <v>31</v>
      </c>
      <c r="K32" s="7" t="s">
        <v>77</v>
      </c>
      <c r="L32" s="9">
        <v>4</v>
      </c>
      <c r="M32" s="9">
        <v>14</v>
      </c>
      <c r="N32" s="9">
        <f t="shared" si="0"/>
        <v>10</v>
      </c>
      <c r="O32" s="9"/>
      <c r="P32" s="9"/>
      <c r="Q32" s="25"/>
      <c r="R32" s="11">
        <v>1.25</v>
      </c>
      <c r="S32" s="1">
        <v>1.19</v>
      </c>
      <c r="T32" s="1">
        <f t="shared" si="1"/>
        <v>1.25</v>
      </c>
      <c r="U32" s="12">
        <v>67.446456230304975</v>
      </c>
      <c r="V32" s="13">
        <v>1.38</v>
      </c>
      <c r="W32" s="14">
        <f t="shared" si="2"/>
        <v>561.54863002723914</v>
      </c>
      <c r="X32" s="18"/>
      <c r="Y32" s="14">
        <f t="shared" si="3"/>
        <v>561.54863002723914</v>
      </c>
      <c r="Z32" s="3"/>
      <c r="AA32" s="3"/>
      <c r="AB32" s="5"/>
      <c r="AC32" s="1"/>
      <c r="AD32" s="28"/>
      <c r="AE32" s="1"/>
      <c r="AF32" s="3"/>
      <c r="AG32" s="7"/>
      <c r="AH32" s="7"/>
      <c r="AI32" s="3" t="s">
        <v>75</v>
      </c>
      <c r="AJ32" s="7" t="s">
        <v>78</v>
      </c>
      <c r="AK32" s="3"/>
      <c r="AL32" cm="1">
        <f t="array" ref="AL32">IF(getColor(V32) = 16777215, 0, 1)</f>
        <v>0</v>
      </c>
    </row>
    <row r="33" spans="1:38">
      <c r="A33" s="1">
        <v>32</v>
      </c>
      <c r="B33" s="3" t="s">
        <v>27</v>
      </c>
      <c r="C33" s="7" t="s">
        <v>73</v>
      </c>
      <c r="D33" s="7" t="s">
        <v>74</v>
      </c>
      <c r="E33" s="8">
        <v>58.395800000000001</v>
      </c>
      <c r="F33" s="8">
        <v>-134.56166666666667</v>
      </c>
      <c r="G33" s="9" t="s">
        <v>30</v>
      </c>
      <c r="H33" s="3" t="s">
        <v>31</v>
      </c>
      <c r="I33" s="3" t="s">
        <v>31</v>
      </c>
      <c r="J33" s="3" t="s">
        <v>31</v>
      </c>
      <c r="K33" s="7" t="s">
        <v>79</v>
      </c>
      <c r="L33" s="9">
        <v>14</v>
      </c>
      <c r="M33" s="9">
        <v>21</v>
      </c>
      <c r="N33" s="9">
        <f t="shared" si="0"/>
        <v>7</v>
      </c>
      <c r="O33" s="9"/>
      <c r="P33" s="9"/>
      <c r="Q33" s="25"/>
      <c r="R33" s="11">
        <v>1.64</v>
      </c>
      <c r="S33" s="1">
        <v>1.19</v>
      </c>
      <c r="T33" s="1">
        <f t="shared" si="1"/>
        <v>1.64</v>
      </c>
      <c r="U33" s="12">
        <v>59.339792205514883</v>
      </c>
      <c r="V33" s="13">
        <v>0.46</v>
      </c>
      <c r="W33" s="14">
        <f t="shared" si="2"/>
        <v>214.71842532111697</v>
      </c>
      <c r="X33" s="18"/>
      <c r="Y33" s="14">
        <f t="shared" si="3"/>
        <v>214.71842532111697</v>
      </c>
      <c r="Z33" s="3"/>
      <c r="AA33" s="3"/>
      <c r="AB33" s="5"/>
      <c r="AC33" s="1"/>
      <c r="AD33" s="28"/>
      <c r="AE33" s="1"/>
      <c r="AF33" s="3"/>
      <c r="AG33" s="7"/>
      <c r="AH33" s="7"/>
      <c r="AI33" s="3" t="s">
        <v>75</v>
      </c>
      <c r="AJ33" s="7" t="s">
        <v>79</v>
      </c>
      <c r="AK33" s="3"/>
      <c r="AL33" cm="1">
        <f t="array" ref="AL33">IF(getColor(V33) = 16777215, 0, 1)</f>
        <v>0</v>
      </c>
    </row>
    <row r="34" spans="1:38">
      <c r="A34" s="1">
        <v>33</v>
      </c>
      <c r="B34" s="3" t="s">
        <v>27</v>
      </c>
      <c r="C34" s="7" t="s">
        <v>73</v>
      </c>
      <c r="D34" s="7" t="s">
        <v>74</v>
      </c>
      <c r="E34" s="8">
        <v>58.395800000000001</v>
      </c>
      <c r="F34" s="8">
        <v>-134.56166666666667</v>
      </c>
      <c r="G34" s="9" t="s">
        <v>30</v>
      </c>
      <c r="H34" s="3" t="s">
        <v>31</v>
      </c>
      <c r="I34" s="3" t="s">
        <v>31</v>
      </c>
      <c r="J34" s="3" t="s">
        <v>31</v>
      </c>
      <c r="K34" s="7" t="s">
        <v>80</v>
      </c>
      <c r="L34" s="9">
        <v>21</v>
      </c>
      <c r="M34" s="9">
        <v>33</v>
      </c>
      <c r="N34" s="9">
        <f t="shared" si="0"/>
        <v>12</v>
      </c>
      <c r="O34" s="9"/>
      <c r="P34" s="9"/>
      <c r="Q34" s="25"/>
      <c r="R34" s="11">
        <v>0</v>
      </c>
      <c r="S34" s="1">
        <v>1.91</v>
      </c>
      <c r="T34" s="1">
        <f t="shared" si="1"/>
        <v>1.91</v>
      </c>
      <c r="U34" s="12">
        <v>60.616268701079953</v>
      </c>
      <c r="V34" s="13">
        <v>0.28999999999999998</v>
      </c>
      <c r="W34" s="14">
        <f t="shared" si="2"/>
        <v>261.77578519766178</v>
      </c>
      <c r="X34" s="18"/>
      <c r="Y34" s="14">
        <f t="shared" si="3"/>
        <v>261.77578519766178</v>
      </c>
      <c r="Z34" s="3"/>
      <c r="AA34" s="3"/>
      <c r="AB34" s="5"/>
      <c r="AC34" s="1"/>
      <c r="AD34" s="28"/>
      <c r="AE34" s="1"/>
      <c r="AF34" s="3"/>
      <c r="AG34" s="7"/>
      <c r="AH34" s="7"/>
      <c r="AI34" s="3" t="s">
        <v>75</v>
      </c>
      <c r="AJ34" s="7" t="s">
        <v>80</v>
      </c>
      <c r="AK34" s="3"/>
      <c r="AL34" cm="1">
        <f t="array" ref="AL34">IF(getColor(V34) = 16777215, 0, 1)</f>
        <v>0</v>
      </c>
    </row>
    <row r="35" spans="1:38">
      <c r="A35" s="1">
        <v>34</v>
      </c>
      <c r="B35" s="3" t="s">
        <v>27</v>
      </c>
      <c r="C35" s="7" t="s">
        <v>73</v>
      </c>
      <c r="D35" s="7" t="s">
        <v>74</v>
      </c>
      <c r="E35" s="8">
        <v>58.395800000000001</v>
      </c>
      <c r="F35" s="8">
        <v>-134.56166666666667</v>
      </c>
      <c r="G35" s="9" t="s">
        <v>30</v>
      </c>
      <c r="H35" s="3" t="s">
        <v>31</v>
      </c>
      <c r="I35" s="3" t="s">
        <v>31</v>
      </c>
      <c r="J35" s="3" t="s">
        <v>31</v>
      </c>
      <c r="K35" s="7" t="s">
        <v>81</v>
      </c>
      <c r="L35" s="9">
        <v>33</v>
      </c>
      <c r="M35" s="9">
        <v>93</v>
      </c>
      <c r="N35" s="9">
        <f t="shared" si="0"/>
        <v>60</v>
      </c>
      <c r="O35" s="9"/>
      <c r="P35" s="9"/>
      <c r="Q35" s="25"/>
      <c r="R35" s="11">
        <v>0</v>
      </c>
      <c r="S35" s="1">
        <v>1.91</v>
      </c>
      <c r="T35" s="1">
        <f t="shared" si="1"/>
        <v>1.91</v>
      </c>
      <c r="U35" s="12">
        <v>67.230008244023082</v>
      </c>
      <c r="V35" s="13">
        <v>0.12</v>
      </c>
      <c r="W35" s="14">
        <f t="shared" si="2"/>
        <v>450.65292662819451</v>
      </c>
      <c r="X35" s="18"/>
      <c r="Y35" s="14">
        <f t="shared" si="3"/>
        <v>450.65292662819451</v>
      </c>
      <c r="Z35" s="3"/>
      <c r="AA35" s="3"/>
      <c r="AB35" s="5"/>
      <c r="AC35" s="1"/>
      <c r="AD35" s="28"/>
      <c r="AE35" s="1"/>
      <c r="AF35" s="3"/>
      <c r="AG35" s="7"/>
      <c r="AH35" s="7"/>
      <c r="AI35" s="3" t="s">
        <v>75</v>
      </c>
      <c r="AJ35" s="7" t="s">
        <v>81</v>
      </c>
      <c r="AK35" s="3"/>
      <c r="AL35" cm="1">
        <f t="array" ref="AL35">IF(getColor(V35) = 16777215, 0, 1)</f>
        <v>0</v>
      </c>
    </row>
    <row r="36" spans="1:38">
      <c r="A36" s="1">
        <v>35</v>
      </c>
      <c r="B36" s="3" t="s">
        <v>27</v>
      </c>
      <c r="C36" s="7" t="s">
        <v>82</v>
      </c>
      <c r="D36" s="7" t="s">
        <v>83</v>
      </c>
      <c r="E36" s="8">
        <v>58.411388888888887</v>
      </c>
      <c r="F36" s="8">
        <v>-134.55666666666667</v>
      </c>
      <c r="G36" s="9" t="s">
        <v>30</v>
      </c>
      <c r="H36" s="3" t="s">
        <v>31</v>
      </c>
      <c r="I36" s="3" t="s">
        <v>31</v>
      </c>
      <c r="J36" s="3" t="s">
        <v>31</v>
      </c>
      <c r="K36" s="7" t="s">
        <v>49</v>
      </c>
      <c r="L36" s="9">
        <v>10</v>
      </c>
      <c r="M36" s="9">
        <v>9</v>
      </c>
      <c r="N36" s="9">
        <f t="shared" si="0"/>
        <v>1</v>
      </c>
      <c r="O36" s="29">
        <f>M42</f>
        <v>90</v>
      </c>
      <c r="P36" s="29">
        <f>L36</f>
        <v>10</v>
      </c>
      <c r="Q36" s="29">
        <f>P36+O36</f>
        <v>100</v>
      </c>
      <c r="R36" s="11">
        <v>0</v>
      </c>
      <c r="S36" s="1">
        <v>0.08</v>
      </c>
      <c r="T36" s="1">
        <f t="shared" si="1"/>
        <v>0.08</v>
      </c>
      <c r="U36" s="12">
        <v>0</v>
      </c>
      <c r="V36" s="13">
        <v>46.140898999999997</v>
      </c>
      <c r="W36" s="14">
        <f t="shared" si="2"/>
        <v>369.12719200000004</v>
      </c>
      <c r="X36" s="14">
        <f>SUM(W36:W42)</f>
        <v>5407.5834997091079</v>
      </c>
      <c r="Y36" s="14">
        <f t="shared" si="3"/>
        <v>369.12719200000004</v>
      </c>
      <c r="Z36" s="15">
        <f>SUM(Y36:Y42)/10^6*10^4</f>
        <v>54.075834997091079</v>
      </c>
      <c r="AA36" s="16">
        <v>16.186744805420297</v>
      </c>
      <c r="AB36" s="5"/>
      <c r="AC36" s="1"/>
      <c r="AD36" s="28"/>
      <c r="AE36" s="1"/>
      <c r="AF36" s="3"/>
      <c r="AG36" s="7"/>
      <c r="AH36" s="7"/>
      <c r="AI36" s="3" t="s">
        <v>84</v>
      </c>
      <c r="AJ36" s="7" t="s">
        <v>60</v>
      </c>
      <c r="AK36" s="3"/>
      <c r="AL36" cm="1">
        <f t="array" ref="AL36">IF(getColor(V36) = 16777215, 0, 1)</f>
        <v>0</v>
      </c>
    </row>
    <row r="37" spans="1:38">
      <c r="A37" s="1">
        <v>36</v>
      </c>
      <c r="B37" s="3" t="s">
        <v>27</v>
      </c>
      <c r="C37" s="7" t="s">
        <v>82</v>
      </c>
      <c r="D37" s="7" t="s">
        <v>83</v>
      </c>
      <c r="E37" s="8">
        <v>58.411388888888887</v>
      </c>
      <c r="F37" s="8">
        <v>-134.55666666666667</v>
      </c>
      <c r="G37" s="9" t="s">
        <v>30</v>
      </c>
      <c r="H37" s="3" t="s">
        <v>31</v>
      </c>
      <c r="I37" s="3" t="s">
        <v>31</v>
      </c>
      <c r="J37" s="3" t="s">
        <v>31</v>
      </c>
      <c r="K37" s="7" t="s">
        <v>51</v>
      </c>
      <c r="L37" s="9">
        <v>9</v>
      </c>
      <c r="M37" s="9">
        <v>5</v>
      </c>
      <c r="N37" s="9">
        <f t="shared" si="0"/>
        <v>4</v>
      </c>
      <c r="O37" s="9"/>
      <c r="P37" s="9"/>
      <c r="Q37" s="25"/>
      <c r="R37" s="11">
        <v>0</v>
      </c>
      <c r="S37" s="1">
        <v>0.12</v>
      </c>
      <c r="T37" s="1">
        <f t="shared" si="1"/>
        <v>0.12</v>
      </c>
      <c r="U37" s="12">
        <v>0</v>
      </c>
      <c r="V37" s="13">
        <v>35.074339999999999</v>
      </c>
      <c r="W37" s="14">
        <f t="shared" si="2"/>
        <v>1683.5683199999999</v>
      </c>
      <c r="X37" s="25"/>
      <c r="Y37" s="14">
        <f t="shared" si="3"/>
        <v>1683.5683199999999</v>
      </c>
      <c r="Z37" s="3"/>
      <c r="AA37" s="3"/>
      <c r="AB37" s="5"/>
      <c r="AC37" s="5"/>
      <c r="AD37" s="28"/>
      <c r="AE37" s="1"/>
      <c r="AF37" s="3"/>
      <c r="AG37" s="7"/>
      <c r="AH37" s="7"/>
      <c r="AI37" s="3" t="s">
        <v>84</v>
      </c>
      <c r="AJ37" s="7" t="s">
        <v>67</v>
      </c>
      <c r="AK37" s="3"/>
      <c r="AL37" cm="1">
        <f t="array" ref="AL37">IF(getColor(V37) = 16777215, 0, 1)</f>
        <v>0</v>
      </c>
    </row>
    <row r="38" spans="1:38">
      <c r="A38" s="1">
        <v>37</v>
      </c>
      <c r="B38" s="3" t="s">
        <v>27</v>
      </c>
      <c r="C38" s="7" t="s">
        <v>82</v>
      </c>
      <c r="D38" s="7" t="s">
        <v>83</v>
      </c>
      <c r="E38" s="8">
        <v>58.411388888888887</v>
      </c>
      <c r="F38" s="8">
        <v>-134.55666666666667</v>
      </c>
      <c r="G38" s="9" t="s">
        <v>30</v>
      </c>
      <c r="H38" s="3" t="s">
        <v>31</v>
      </c>
      <c r="I38" s="3" t="s">
        <v>31</v>
      </c>
      <c r="J38" s="3" t="s">
        <v>31</v>
      </c>
      <c r="K38" s="7" t="s">
        <v>52</v>
      </c>
      <c r="L38" s="9">
        <v>5</v>
      </c>
      <c r="M38" s="9">
        <v>0</v>
      </c>
      <c r="N38" s="9">
        <f t="shared" si="0"/>
        <v>5</v>
      </c>
      <c r="O38" s="9"/>
      <c r="P38" s="9"/>
      <c r="Q38" s="25"/>
      <c r="R38" s="11">
        <v>0</v>
      </c>
      <c r="S38" s="1">
        <v>0.15</v>
      </c>
      <c r="T38" s="1">
        <f t="shared" si="1"/>
        <v>0.15</v>
      </c>
      <c r="U38" s="12">
        <v>1.8367535251945344</v>
      </c>
      <c r="V38" s="13">
        <v>23.739972000000002</v>
      </c>
      <c r="W38" s="14">
        <f t="shared" si="2"/>
        <v>1747.7945420557357</v>
      </c>
      <c r="X38" s="25"/>
      <c r="Y38" s="14">
        <f t="shared" si="3"/>
        <v>1747.7945420557357</v>
      </c>
      <c r="Z38" s="3"/>
      <c r="AA38" s="3"/>
      <c r="AB38" s="5"/>
      <c r="AC38" s="1"/>
      <c r="AD38" s="28"/>
      <c r="AE38" s="1"/>
      <c r="AF38" s="3"/>
      <c r="AG38" s="7"/>
      <c r="AH38" s="7"/>
      <c r="AI38" s="3" t="s">
        <v>84</v>
      </c>
      <c r="AJ38" s="7" t="s">
        <v>76</v>
      </c>
      <c r="AK38" s="3"/>
      <c r="AL38" cm="1">
        <f t="array" ref="AL38">IF(getColor(V38) = 16777215, 0, 1)</f>
        <v>0</v>
      </c>
    </row>
    <row r="39" spans="1:38">
      <c r="A39" s="1">
        <v>38</v>
      </c>
      <c r="B39" s="3" t="s">
        <v>27</v>
      </c>
      <c r="C39" s="7" t="s">
        <v>82</v>
      </c>
      <c r="D39" s="7" t="s">
        <v>83</v>
      </c>
      <c r="E39" s="8">
        <v>58.411388888888887</v>
      </c>
      <c r="F39" s="8">
        <v>-134.55666666666667</v>
      </c>
      <c r="G39" s="9" t="s">
        <v>30</v>
      </c>
      <c r="H39" s="3" t="s">
        <v>31</v>
      </c>
      <c r="I39" s="3" t="s">
        <v>31</v>
      </c>
      <c r="J39" s="3" t="s">
        <v>31</v>
      </c>
      <c r="K39" s="7" t="s">
        <v>47</v>
      </c>
      <c r="L39" s="9">
        <v>0</v>
      </c>
      <c r="M39" s="9">
        <v>4</v>
      </c>
      <c r="N39" s="9">
        <f t="shared" si="0"/>
        <v>4</v>
      </c>
      <c r="O39" s="9"/>
      <c r="P39" s="9"/>
      <c r="Q39" s="25"/>
      <c r="R39" s="11">
        <v>0</v>
      </c>
      <c r="S39" s="1">
        <v>0.11</v>
      </c>
      <c r="T39" s="1">
        <f t="shared" si="1"/>
        <v>0.11</v>
      </c>
      <c r="U39" s="12">
        <v>24.609754627534929</v>
      </c>
      <c r="V39" s="13">
        <v>1.68</v>
      </c>
      <c r="W39" s="14">
        <f t="shared" si="2"/>
        <v>55.728469379326178</v>
      </c>
      <c r="X39" s="18"/>
      <c r="Y39" s="14">
        <f t="shared" si="3"/>
        <v>55.728469379326178</v>
      </c>
      <c r="Z39" s="3"/>
      <c r="AA39" s="3"/>
      <c r="AB39" s="5"/>
      <c r="AC39" s="1"/>
      <c r="AD39" s="28"/>
      <c r="AE39" s="1"/>
      <c r="AF39" s="3"/>
      <c r="AG39" s="7"/>
      <c r="AH39" s="7"/>
      <c r="AI39" s="3" t="s">
        <v>84</v>
      </c>
      <c r="AJ39" s="7" t="s">
        <v>47</v>
      </c>
      <c r="AK39" s="3"/>
      <c r="AL39" cm="1">
        <f t="array" ref="AL39">IF(getColor(V39) = 16777215, 0, 1)</f>
        <v>0</v>
      </c>
    </row>
    <row r="40" spans="1:38">
      <c r="A40" s="1">
        <v>39</v>
      </c>
      <c r="B40" s="3" t="s">
        <v>27</v>
      </c>
      <c r="C40" s="7" t="s">
        <v>82</v>
      </c>
      <c r="D40" s="7" t="s">
        <v>83</v>
      </c>
      <c r="E40" s="8">
        <v>58.411388888888887</v>
      </c>
      <c r="F40" s="8">
        <v>-134.55666666666667</v>
      </c>
      <c r="G40" s="9" t="s">
        <v>30</v>
      </c>
      <c r="H40" s="3" t="s">
        <v>31</v>
      </c>
      <c r="I40" s="3" t="s">
        <v>31</v>
      </c>
      <c r="J40" s="3" t="s">
        <v>31</v>
      </c>
      <c r="K40" s="7" t="s">
        <v>41</v>
      </c>
      <c r="L40" s="9">
        <v>4</v>
      </c>
      <c r="M40" s="9">
        <v>18</v>
      </c>
      <c r="N40" s="9">
        <f t="shared" si="0"/>
        <v>14</v>
      </c>
      <c r="O40" s="9"/>
      <c r="P40" s="9"/>
      <c r="Q40" s="25"/>
      <c r="R40" s="11">
        <v>0</v>
      </c>
      <c r="S40" s="1">
        <v>1.1000000000000001</v>
      </c>
      <c r="T40" s="1">
        <f t="shared" si="1"/>
        <v>1.1000000000000001</v>
      </c>
      <c r="U40" s="12">
        <v>23.63653567129899</v>
      </c>
      <c r="V40" s="13">
        <v>0.36</v>
      </c>
      <c r="W40" s="14">
        <f t="shared" si="2"/>
        <v>423.35904623831851</v>
      </c>
      <c r="X40" s="18"/>
      <c r="Y40" s="14">
        <f t="shared" si="3"/>
        <v>423.35904623831851</v>
      </c>
      <c r="Z40" s="3"/>
      <c r="AA40" s="3"/>
      <c r="AB40" s="5"/>
      <c r="AC40" s="1"/>
      <c r="AD40" s="28"/>
      <c r="AE40" s="1"/>
      <c r="AF40" s="3"/>
      <c r="AG40" s="7"/>
      <c r="AH40" s="7"/>
      <c r="AI40" s="3" t="s">
        <v>84</v>
      </c>
      <c r="AJ40" s="7" t="s">
        <v>61</v>
      </c>
      <c r="AK40" s="3"/>
      <c r="AL40" cm="1">
        <f t="array" ref="AL40">IF(getColor(V40) = 16777215, 0, 1)</f>
        <v>0</v>
      </c>
    </row>
    <row r="41" spans="1:38">
      <c r="A41" s="1">
        <v>40</v>
      </c>
      <c r="B41" s="3" t="s">
        <v>27</v>
      </c>
      <c r="C41" s="7" t="s">
        <v>82</v>
      </c>
      <c r="D41" s="7" t="s">
        <v>83</v>
      </c>
      <c r="E41" s="8">
        <v>58.411388888888887</v>
      </c>
      <c r="F41" s="8">
        <v>-134.55666666666667</v>
      </c>
      <c r="G41" s="9" t="s">
        <v>30</v>
      </c>
      <c r="H41" s="3" t="s">
        <v>31</v>
      </c>
      <c r="I41" s="3" t="s">
        <v>31</v>
      </c>
      <c r="J41" s="3" t="s">
        <v>31</v>
      </c>
      <c r="K41" s="7" t="s">
        <v>80</v>
      </c>
      <c r="L41" s="9">
        <v>18</v>
      </c>
      <c r="M41" s="9">
        <v>56</v>
      </c>
      <c r="N41" s="9">
        <f t="shared" si="0"/>
        <v>38</v>
      </c>
      <c r="O41" s="9"/>
      <c r="P41" s="9"/>
      <c r="Q41" s="25"/>
      <c r="R41" s="11">
        <v>0</v>
      </c>
      <c r="S41" s="1">
        <v>1.1000000000000001</v>
      </c>
      <c r="T41" s="1">
        <f t="shared" si="1"/>
        <v>1.1000000000000001</v>
      </c>
      <c r="U41" s="12">
        <v>24.490403833901322</v>
      </c>
      <c r="V41" s="13">
        <v>0.2</v>
      </c>
      <c r="W41" s="14">
        <f t="shared" si="2"/>
        <v>631.26022394858501</v>
      </c>
      <c r="X41" s="18"/>
      <c r="Y41" s="14">
        <f t="shared" si="3"/>
        <v>631.26022394858501</v>
      </c>
      <c r="Z41" s="3"/>
      <c r="AA41" s="3"/>
      <c r="AB41" s="5"/>
      <c r="AC41" s="1"/>
      <c r="AD41" s="28"/>
      <c r="AE41" s="1"/>
      <c r="AF41" s="3"/>
      <c r="AG41" s="7"/>
      <c r="AH41" s="7"/>
      <c r="AI41" s="3" t="s">
        <v>84</v>
      </c>
      <c r="AJ41" s="7" t="s">
        <v>80</v>
      </c>
      <c r="AK41" s="3"/>
      <c r="AL41" cm="1">
        <f t="array" ref="AL41">IF(getColor(V41) = 16777215, 0, 1)</f>
        <v>0</v>
      </c>
    </row>
    <row r="42" spans="1:38">
      <c r="A42" s="1">
        <v>41</v>
      </c>
      <c r="B42" s="3" t="s">
        <v>27</v>
      </c>
      <c r="C42" s="7" t="s">
        <v>82</v>
      </c>
      <c r="D42" s="7" t="s">
        <v>83</v>
      </c>
      <c r="E42" s="8">
        <v>58.411388888888887</v>
      </c>
      <c r="F42" s="8">
        <v>-134.55666666666667</v>
      </c>
      <c r="G42" s="9" t="s">
        <v>30</v>
      </c>
      <c r="H42" s="3" t="s">
        <v>31</v>
      </c>
      <c r="I42" s="3" t="s">
        <v>31</v>
      </c>
      <c r="J42" s="3" t="s">
        <v>31</v>
      </c>
      <c r="K42" s="7" t="s">
        <v>81</v>
      </c>
      <c r="L42" s="9">
        <v>56</v>
      </c>
      <c r="M42" s="9">
        <v>90</v>
      </c>
      <c r="N42" s="9">
        <f t="shared" si="0"/>
        <v>34</v>
      </c>
      <c r="O42" s="9"/>
      <c r="P42" s="9"/>
      <c r="Q42" s="25"/>
      <c r="R42" s="11">
        <v>0</v>
      </c>
      <c r="S42" s="1">
        <v>1.1000000000000001</v>
      </c>
      <c r="T42" s="1">
        <f t="shared" si="1"/>
        <v>1.1000000000000001</v>
      </c>
      <c r="U42" s="12">
        <v>21.870760288275736</v>
      </c>
      <c r="V42" s="13">
        <v>0.17</v>
      </c>
      <c r="W42" s="14">
        <f t="shared" si="2"/>
        <v>496.74570608714299</v>
      </c>
      <c r="X42" s="18"/>
      <c r="Y42" s="14">
        <f t="shared" si="3"/>
        <v>496.74570608714299</v>
      </c>
      <c r="Z42" s="3"/>
      <c r="AA42" s="3"/>
      <c r="AB42" s="5"/>
      <c r="AC42" s="1"/>
      <c r="AD42" s="28"/>
      <c r="AE42" s="1"/>
      <c r="AF42" s="3"/>
      <c r="AG42" s="7"/>
      <c r="AH42" s="7"/>
      <c r="AI42" s="3" t="s">
        <v>84</v>
      </c>
      <c r="AJ42" s="7" t="s">
        <v>81</v>
      </c>
      <c r="AK42" s="3"/>
      <c r="AL42" cm="1">
        <f t="array" ref="AL42">IF(getColor(V42) = 16777215, 0, 1)</f>
        <v>0</v>
      </c>
    </row>
    <row r="43" spans="1:38">
      <c r="A43" s="1">
        <v>42</v>
      </c>
      <c r="B43" s="3" t="s">
        <v>27</v>
      </c>
      <c r="C43" s="7" t="s">
        <v>85</v>
      </c>
      <c r="D43" s="7" t="s">
        <v>86</v>
      </c>
      <c r="E43" s="8">
        <v>58.42187777777778</v>
      </c>
      <c r="F43" s="8">
        <v>-134.54079999999999</v>
      </c>
      <c r="G43" s="9" t="s">
        <v>30</v>
      </c>
      <c r="H43" s="3" t="s">
        <v>31</v>
      </c>
      <c r="I43" s="3" t="s">
        <v>31</v>
      </c>
      <c r="J43" s="3" t="s">
        <v>31</v>
      </c>
      <c r="K43" s="7" t="s">
        <v>87</v>
      </c>
      <c r="L43" s="9">
        <v>0</v>
      </c>
      <c r="M43" s="9">
        <v>5</v>
      </c>
      <c r="N43" s="9">
        <f t="shared" si="0"/>
        <v>5</v>
      </c>
      <c r="O43" s="29">
        <f>M45</f>
        <v>100</v>
      </c>
      <c r="P43" s="29">
        <f>L43</f>
        <v>0</v>
      </c>
      <c r="Q43" s="29">
        <f>P43+O43</f>
        <v>100</v>
      </c>
      <c r="R43" s="11">
        <v>0</v>
      </c>
      <c r="S43" s="1">
        <v>0.97</v>
      </c>
      <c r="T43" s="1">
        <f t="shared" si="1"/>
        <v>0.97</v>
      </c>
      <c r="U43" s="12">
        <v>17.730178462284357</v>
      </c>
      <c r="V43" s="13">
        <v>0.04</v>
      </c>
      <c r="W43" s="14">
        <f t="shared" si="2"/>
        <v>15.960345378316834</v>
      </c>
      <c r="X43" s="14">
        <f>SUM(W43:W45)</f>
        <v>200.53400349299943</v>
      </c>
      <c r="Y43" s="14">
        <f t="shared" si="3"/>
        <v>15.960345378316834</v>
      </c>
      <c r="Z43" s="15">
        <f>SUM(Y43:Y45)/10^6*10^4</f>
        <v>2.0053400349299944</v>
      </c>
      <c r="AA43" s="16">
        <v>0.38740749048007184</v>
      </c>
      <c r="AB43" s="5"/>
      <c r="AC43" s="1"/>
      <c r="AD43" s="28"/>
      <c r="AE43" s="1"/>
      <c r="AF43" s="3"/>
      <c r="AG43" s="7"/>
      <c r="AH43" s="7"/>
      <c r="AI43" s="3" t="s">
        <v>84</v>
      </c>
      <c r="AJ43" s="7" t="s">
        <v>87</v>
      </c>
      <c r="AK43" s="3"/>
      <c r="AL43" cm="1">
        <f t="array" ref="AL43">IF(getColor(V43) = 16777215, 0, 1)</f>
        <v>0</v>
      </c>
    </row>
    <row r="44" spans="1:38">
      <c r="A44" s="1">
        <v>43</v>
      </c>
      <c r="B44" s="3" t="s">
        <v>27</v>
      </c>
      <c r="C44" s="7" t="s">
        <v>85</v>
      </c>
      <c r="D44" s="7" t="s">
        <v>86</v>
      </c>
      <c r="E44" s="8">
        <v>58.42187777777778</v>
      </c>
      <c r="F44" s="8">
        <v>-134.54079999999999</v>
      </c>
      <c r="G44" s="9" t="s">
        <v>30</v>
      </c>
      <c r="H44" s="3" t="s">
        <v>31</v>
      </c>
      <c r="I44" s="3" t="s">
        <v>31</v>
      </c>
      <c r="J44" s="3" t="s">
        <v>31</v>
      </c>
      <c r="K44" s="7" t="s">
        <v>80</v>
      </c>
      <c r="L44" s="9">
        <v>5</v>
      </c>
      <c r="M44" s="9">
        <v>22</v>
      </c>
      <c r="N44" s="9">
        <f t="shared" si="0"/>
        <v>17</v>
      </c>
      <c r="O44" s="9"/>
      <c r="P44" s="9"/>
      <c r="Q44" s="25"/>
      <c r="R44" s="11">
        <v>0</v>
      </c>
      <c r="S44" s="1">
        <v>1.1000000000000001</v>
      </c>
      <c r="T44" s="1">
        <f t="shared" si="1"/>
        <v>1.1000000000000001</v>
      </c>
      <c r="U44" s="12">
        <v>7.8187201331455398</v>
      </c>
      <c r="V44" s="13">
        <v>2.5916999999999999E-2</v>
      </c>
      <c r="W44" s="14">
        <f t="shared" si="2"/>
        <v>44.675463706783283</v>
      </c>
      <c r="X44" s="25"/>
      <c r="Y44" s="14">
        <f t="shared" si="3"/>
        <v>44.675463706783283</v>
      </c>
      <c r="Z44" s="3"/>
      <c r="AA44" s="3"/>
      <c r="AB44" s="5"/>
      <c r="AC44" s="5"/>
      <c r="AD44" s="28"/>
      <c r="AE44" s="1"/>
      <c r="AF44" s="3"/>
      <c r="AG44" s="7"/>
      <c r="AH44" s="7"/>
      <c r="AI44" s="3" t="s">
        <v>84</v>
      </c>
      <c r="AJ44" s="7" t="s">
        <v>80</v>
      </c>
      <c r="AK44" s="3"/>
      <c r="AL44" cm="1">
        <f t="array" ref="AL44">IF(getColor(V44) = 16777215, 0, 1)</f>
        <v>0</v>
      </c>
    </row>
    <row r="45" spans="1:38">
      <c r="A45" s="1">
        <v>44</v>
      </c>
      <c r="B45" s="3" t="s">
        <v>27</v>
      </c>
      <c r="C45" s="7" t="s">
        <v>85</v>
      </c>
      <c r="D45" s="7" t="s">
        <v>86</v>
      </c>
      <c r="E45" s="8">
        <v>58.42187777777778</v>
      </c>
      <c r="F45" s="8">
        <v>-134.54079999999999</v>
      </c>
      <c r="G45" s="9" t="s">
        <v>30</v>
      </c>
      <c r="H45" s="3" t="s">
        <v>31</v>
      </c>
      <c r="I45" s="3" t="s">
        <v>31</v>
      </c>
      <c r="J45" s="3" t="s">
        <v>31</v>
      </c>
      <c r="K45" s="7" t="s">
        <v>81</v>
      </c>
      <c r="L45" s="9">
        <v>22</v>
      </c>
      <c r="M45" s="9">
        <v>100</v>
      </c>
      <c r="N45" s="9">
        <f t="shared" si="0"/>
        <v>78</v>
      </c>
      <c r="O45" s="9"/>
      <c r="P45" s="9"/>
      <c r="Q45" s="25"/>
      <c r="R45" s="11">
        <v>0</v>
      </c>
      <c r="S45" s="1">
        <v>1.1000000000000001</v>
      </c>
      <c r="T45" s="1">
        <f t="shared" si="1"/>
        <v>1.1000000000000001</v>
      </c>
      <c r="U45" s="12">
        <v>5.6305656708442919</v>
      </c>
      <c r="V45" s="13">
        <v>1.7278000000000002E-2</v>
      </c>
      <c r="W45" s="14">
        <f t="shared" si="2"/>
        <v>139.8981944078993</v>
      </c>
      <c r="X45" s="25"/>
      <c r="Y45" s="14">
        <f t="shared" si="3"/>
        <v>139.8981944078993</v>
      </c>
      <c r="Z45" s="3"/>
      <c r="AA45" s="3"/>
      <c r="AB45" s="5"/>
      <c r="AC45" s="1"/>
      <c r="AD45" s="28"/>
      <c r="AE45" s="1"/>
      <c r="AF45" s="3"/>
      <c r="AG45" s="7"/>
      <c r="AH45" s="7"/>
      <c r="AI45" s="3" t="s">
        <v>84</v>
      </c>
      <c r="AJ45" s="7" t="s">
        <v>81</v>
      </c>
      <c r="AK45" s="3"/>
      <c r="AL45" cm="1">
        <f t="array" ref="AL45">IF(getColor(V45) = 16777215, 0, 1)</f>
        <v>0</v>
      </c>
    </row>
    <row r="46" spans="1:38">
      <c r="A46" s="1">
        <v>45</v>
      </c>
      <c r="B46" s="3" t="s">
        <v>27</v>
      </c>
      <c r="C46" s="7" t="s">
        <v>88</v>
      </c>
      <c r="D46" s="7" t="s">
        <v>89</v>
      </c>
      <c r="E46" s="8">
        <v>58.417988888888893</v>
      </c>
      <c r="F46" s="8">
        <v>-134.55194444444444</v>
      </c>
      <c r="G46" s="9" t="s">
        <v>30</v>
      </c>
      <c r="H46" s="3" t="s">
        <v>31</v>
      </c>
      <c r="I46" s="3" t="s">
        <v>31</v>
      </c>
      <c r="J46" s="3" t="s">
        <v>31</v>
      </c>
      <c r="K46" s="7" t="s">
        <v>49</v>
      </c>
      <c r="L46" s="9">
        <v>5</v>
      </c>
      <c r="M46" s="9">
        <v>4</v>
      </c>
      <c r="N46" s="9">
        <f t="shared" si="0"/>
        <v>1</v>
      </c>
      <c r="O46" s="29">
        <f>M50</f>
        <v>95</v>
      </c>
      <c r="P46" s="29">
        <f>L46</f>
        <v>5</v>
      </c>
      <c r="Q46" s="29">
        <f>P46+O46</f>
        <v>100</v>
      </c>
      <c r="R46" s="11">
        <v>0</v>
      </c>
      <c r="S46" s="1">
        <v>0.08</v>
      </c>
      <c r="T46" s="1">
        <f t="shared" si="1"/>
        <v>0.08</v>
      </c>
      <c r="U46" s="12">
        <v>0</v>
      </c>
      <c r="V46" s="13">
        <v>36.71575</v>
      </c>
      <c r="W46" s="14">
        <f t="shared" si="2"/>
        <v>293.726</v>
      </c>
      <c r="X46" s="14">
        <f>SUM(W46:W50)</f>
        <v>1641.2548397227044</v>
      </c>
      <c r="Y46" s="14">
        <f t="shared" si="3"/>
        <v>293.726</v>
      </c>
      <c r="Z46" s="15">
        <f>SUM(Y46:Y50)/10^6*10^4</f>
        <v>16.412548397227045</v>
      </c>
      <c r="AA46" s="16">
        <v>6.3414159929896652</v>
      </c>
      <c r="AB46" s="5"/>
      <c r="AC46" s="1"/>
      <c r="AD46" s="28"/>
      <c r="AE46" s="28"/>
      <c r="AF46" s="3"/>
      <c r="AG46" s="7"/>
      <c r="AH46" s="7"/>
      <c r="AI46" s="3" t="s">
        <v>84</v>
      </c>
      <c r="AJ46" s="7" t="s">
        <v>60</v>
      </c>
      <c r="AK46" s="3"/>
      <c r="AL46" cm="1">
        <f t="array" ref="AL46">IF(getColor(V46) = 16777215, 0, 1)</f>
        <v>0</v>
      </c>
    </row>
    <row r="47" spans="1:38">
      <c r="A47" s="1">
        <v>46</v>
      </c>
      <c r="B47" s="3" t="s">
        <v>27</v>
      </c>
      <c r="C47" s="7" t="s">
        <v>88</v>
      </c>
      <c r="D47" s="7" t="s">
        <v>89</v>
      </c>
      <c r="E47" s="8">
        <v>58.417988888888893</v>
      </c>
      <c r="F47" s="8">
        <v>-134.55194444444444</v>
      </c>
      <c r="G47" s="9" t="s">
        <v>30</v>
      </c>
      <c r="H47" s="3" t="s">
        <v>31</v>
      </c>
      <c r="I47" s="3" t="s">
        <v>31</v>
      </c>
      <c r="J47" s="3" t="s">
        <v>31</v>
      </c>
      <c r="K47" s="7" t="s">
        <v>51</v>
      </c>
      <c r="L47" s="9">
        <v>4</v>
      </c>
      <c r="M47" s="9">
        <v>0</v>
      </c>
      <c r="N47" s="9">
        <f t="shared" si="0"/>
        <v>4</v>
      </c>
      <c r="O47" s="9"/>
      <c r="P47" s="9"/>
      <c r="Q47" s="25"/>
      <c r="R47" s="11">
        <v>0</v>
      </c>
      <c r="S47" s="1">
        <v>0.12</v>
      </c>
      <c r="T47" s="1">
        <f t="shared" si="1"/>
        <v>0.12</v>
      </c>
      <c r="U47" s="12">
        <v>0</v>
      </c>
      <c r="V47" s="13">
        <v>17.010191000000003</v>
      </c>
      <c r="W47" s="14">
        <f t="shared" si="2"/>
        <v>816.48916800000006</v>
      </c>
      <c r="X47" s="25"/>
      <c r="Y47" s="14">
        <f t="shared" si="3"/>
        <v>816.48916800000006</v>
      </c>
      <c r="Z47" s="3"/>
      <c r="AA47" s="3"/>
      <c r="AB47" s="5"/>
      <c r="AC47" s="5"/>
      <c r="AD47" s="28"/>
      <c r="AE47" s="28"/>
      <c r="AF47" s="3"/>
      <c r="AG47" s="7"/>
      <c r="AH47" s="7"/>
      <c r="AI47" s="3" t="s">
        <v>84</v>
      </c>
      <c r="AJ47" s="7" t="s">
        <v>67</v>
      </c>
      <c r="AK47" s="3"/>
      <c r="AL47" cm="1">
        <f t="array" ref="AL47">IF(getColor(V47) = 16777215, 0, 1)</f>
        <v>0</v>
      </c>
    </row>
    <row r="48" spans="1:38">
      <c r="A48" s="1">
        <v>47</v>
      </c>
      <c r="B48" s="3" t="s">
        <v>27</v>
      </c>
      <c r="C48" s="7" t="s">
        <v>88</v>
      </c>
      <c r="D48" s="7" t="s">
        <v>89</v>
      </c>
      <c r="E48" s="8">
        <v>58.417988888888893</v>
      </c>
      <c r="F48" s="8">
        <v>-134.55194444444444</v>
      </c>
      <c r="G48" s="9" t="s">
        <v>30</v>
      </c>
      <c r="H48" s="3" t="s">
        <v>31</v>
      </c>
      <c r="I48" s="3" t="s">
        <v>31</v>
      </c>
      <c r="J48" s="3" t="s">
        <v>31</v>
      </c>
      <c r="K48" s="7" t="s">
        <v>87</v>
      </c>
      <c r="L48" s="9">
        <v>0</v>
      </c>
      <c r="M48" s="9">
        <v>12</v>
      </c>
      <c r="N48" s="9">
        <f t="shared" si="0"/>
        <v>12</v>
      </c>
      <c r="O48" s="9"/>
      <c r="P48" s="9"/>
      <c r="Q48" s="25"/>
      <c r="R48" s="11">
        <v>0</v>
      </c>
      <c r="S48" s="1">
        <v>0.97</v>
      </c>
      <c r="T48" s="1">
        <f t="shared" si="1"/>
        <v>0.97</v>
      </c>
      <c r="U48" s="12">
        <v>29.732452323904585</v>
      </c>
      <c r="V48" s="13">
        <v>0.23</v>
      </c>
      <c r="W48" s="14">
        <f t="shared" si="2"/>
        <v>188.12027863844264</v>
      </c>
      <c r="X48" s="18"/>
      <c r="Y48" s="14">
        <f t="shared" si="3"/>
        <v>188.12027863844264</v>
      </c>
      <c r="Z48" s="3"/>
      <c r="AA48" s="3"/>
      <c r="AB48" s="5"/>
      <c r="AC48" s="1"/>
      <c r="AD48" s="28"/>
      <c r="AE48" s="28"/>
      <c r="AF48" s="3"/>
      <c r="AG48" s="7"/>
      <c r="AH48" s="7"/>
      <c r="AI48" s="3" t="s">
        <v>84</v>
      </c>
      <c r="AJ48" s="7" t="s">
        <v>87</v>
      </c>
      <c r="AK48" s="3"/>
      <c r="AL48" cm="1">
        <f t="array" ref="AL48">IF(getColor(V48) = 16777215, 0, 1)</f>
        <v>0</v>
      </c>
    </row>
    <row r="49" spans="1:38">
      <c r="A49" s="1">
        <v>48</v>
      </c>
      <c r="B49" s="3" t="s">
        <v>27</v>
      </c>
      <c r="C49" s="7" t="s">
        <v>88</v>
      </c>
      <c r="D49" s="7" t="s">
        <v>89</v>
      </c>
      <c r="E49" s="8">
        <v>58.417988888888893</v>
      </c>
      <c r="F49" s="8">
        <v>-134.55194444444444</v>
      </c>
      <c r="G49" s="9" t="s">
        <v>30</v>
      </c>
      <c r="H49" s="3" t="s">
        <v>31</v>
      </c>
      <c r="I49" s="3" t="s">
        <v>31</v>
      </c>
      <c r="J49" s="3" t="s">
        <v>31</v>
      </c>
      <c r="K49" s="7" t="s">
        <v>80</v>
      </c>
      <c r="L49" s="9">
        <v>12</v>
      </c>
      <c r="M49" s="9">
        <v>48</v>
      </c>
      <c r="N49" s="9">
        <f t="shared" si="0"/>
        <v>36</v>
      </c>
      <c r="O49" s="9"/>
      <c r="P49" s="9"/>
      <c r="Q49" s="25"/>
      <c r="R49" s="11">
        <v>0</v>
      </c>
      <c r="S49" s="1">
        <v>1.1000000000000001</v>
      </c>
      <c r="T49" s="1">
        <f t="shared" si="1"/>
        <v>1.1000000000000001</v>
      </c>
      <c r="U49" s="12">
        <v>35.422915338182804</v>
      </c>
      <c r="V49" s="13">
        <v>7.0000000000000007E-2</v>
      </c>
      <c r="W49" s="14">
        <f t="shared" si="2"/>
        <v>179.0076786825573</v>
      </c>
      <c r="X49" s="18"/>
      <c r="Y49" s="14">
        <f t="shared" si="3"/>
        <v>179.0076786825573</v>
      </c>
      <c r="Z49" s="3"/>
      <c r="AA49" s="3"/>
      <c r="AB49" s="5"/>
      <c r="AC49" s="1"/>
      <c r="AD49" s="28"/>
      <c r="AE49" s="28"/>
      <c r="AF49" s="3"/>
      <c r="AG49" s="7"/>
      <c r="AH49" s="7"/>
      <c r="AI49" s="3" t="s">
        <v>84</v>
      </c>
      <c r="AJ49" s="7" t="s">
        <v>80</v>
      </c>
      <c r="AK49" s="3"/>
      <c r="AL49" cm="1">
        <f t="array" ref="AL49">IF(getColor(V49) = 16777215, 0, 1)</f>
        <v>0</v>
      </c>
    </row>
    <row r="50" spans="1:38">
      <c r="A50" s="1">
        <v>49</v>
      </c>
      <c r="B50" s="3" t="s">
        <v>27</v>
      </c>
      <c r="C50" s="7" t="s">
        <v>88</v>
      </c>
      <c r="D50" s="7" t="s">
        <v>89</v>
      </c>
      <c r="E50" s="8">
        <v>58.417988888888893</v>
      </c>
      <c r="F50" s="8">
        <v>-134.55194444444444</v>
      </c>
      <c r="G50" s="9" t="s">
        <v>30</v>
      </c>
      <c r="H50" s="3" t="s">
        <v>31</v>
      </c>
      <c r="I50" s="3" t="s">
        <v>31</v>
      </c>
      <c r="J50" s="3" t="s">
        <v>31</v>
      </c>
      <c r="K50" s="7" t="s">
        <v>81</v>
      </c>
      <c r="L50" s="9">
        <v>48</v>
      </c>
      <c r="M50" s="9">
        <v>95</v>
      </c>
      <c r="N50" s="9">
        <f t="shared" si="0"/>
        <v>47</v>
      </c>
      <c r="O50" s="9"/>
      <c r="P50" s="9"/>
      <c r="Q50" s="25"/>
      <c r="R50" s="11">
        <v>0</v>
      </c>
      <c r="S50" s="1">
        <v>1.1000000000000001</v>
      </c>
      <c r="T50" s="1">
        <f t="shared" si="1"/>
        <v>1.1000000000000001</v>
      </c>
      <c r="U50" s="12">
        <v>36.591212997406444</v>
      </c>
      <c r="V50" s="13">
        <v>0.05</v>
      </c>
      <c r="W50" s="14">
        <f t="shared" si="2"/>
        <v>163.91171440170436</v>
      </c>
      <c r="X50" s="18"/>
      <c r="Y50" s="14">
        <f t="shared" si="3"/>
        <v>163.91171440170436</v>
      </c>
      <c r="Z50" s="3"/>
      <c r="AA50" s="3"/>
      <c r="AB50" s="5"/>
      <c r="AC50" s="1"/>
      <c r="AD50" s="28"/>
      <c r="AE50" s="28"/>
      <c r="AF50" s="3"/>
      <c r="AG50" s="7"/>
      <c r="AH50" s="7"/>
      <c r="AI50" s="3" t="s">
        <v>84</v>
      </c>
      <c r="AJ50" s="7" t="s">
        <v>81</v>
      </c>
      <c r="AK50" s="3"/>
      <c r="AL50" cm="1">
        <f t="array" ref="AL50">IF(getColor(V50) = 16777215, 0, 1)</f>
        <v>0</v>
      </c>
    </row>
    <row r="51" spans="1:38">
      <c r="A51" s="1">
        <v>50</v>
      </c>
      <c r="B51" s="3" t="s">
        <v>27</v>
      </c>
      <c r="C51" s="7" t="s">
        <v>90</v>
      </c>
      <c r="D51" s="7" t="s">
        <v>74</v>
      </c>
      <c r="E51" s="8">
        <v>58.4191</v>
      </c>
      <c r="F51" s="8">
        <v>-134.60111111111109</v>
      </c>
      <c r="G51" s="9" t="s">
        <v>30</v>
      </c>
      <c r="H51" s="3" t="s">
        <v>31</v>
      </c>
      <c r="I51" s="3" t="s">
        <v>31</v>
      </c>
      <c r="J51" s="3" t="s">
        <v>31</v>
      </c>
      <c r="K51" s="7" t="s">
        <v>49</v>
      </c>
      <c r="L51" s="9">
        <v>10</v>
      </c>
      <c r="M51" s="9">
        <v>8</v>
      </c>
      <c r="N51" s="9">
        <f t="shared" si="0"/>
        <v>2</v>
      </c>
      <c r="O51" s="29">
        <f>M54</f>
        <v>9</v>
      </c>
      <c r="P51" s="29">
        <f>L51</f>
        <v>10</v>
      </c>
      <c r="Q51" s="29">
        <f>P51+O51</f>
        <v>19</v>
      </c>
      <c r="R51" s="11">
        <v>0</v>
      </c>
      <c r="S51" s="1">
        <v>0.08</v>
      </c>
      <c r="T51" s="1">
        <f t="shared" si="1"/>
        <v>0.08</v>
      </c>
      <c r="U51" s="12">
        <v>0</v>
      </c>
      <c r="V51" s="13">
        <v>48.786434999999997</v>
      </c>
      <c r="W51" s="14">
        <f t="shared" si="2"/>
        <v>780.58295999999996</v>
      </c>
      <c r="X51" s="14">
        <f>SUM(W51:W54)</f>
        <v>6607.1571026861639</v>
      </c>
      <c r="Y51" s="14">
        <f t="shared" si="3"/>
        <v>780.58295999999996</v>
      </c>
      <c r="Z51" s="15">
        <f>SUM(Y51:Y54)/10^6*10^4</f>
        <v>66.071571026861633</v>
      </c>
      <c r="AA51" s="16">
        <v>19.144924997191954</v>
      </c>
      <c r="AB51" s="5"/>
      <c r="AC51" s="1"/>
      <c r="AD51" s="28"/>
      <c r="AE51" s="28"/>
      <c r="AF51" s="3"/>
      <c r="AG51" s="7"/>
      <c r="AH51" s="7"/>
      <c r="AI51" s="3" t="s">
        <v>75</v>
      </c>
      <c r="AJ51" s="7" t="s">
        <v>60</v>
      </c>
      <c r="AK51" s="3"/>
      <c r="AL51" cm="1">
        <f t="array" ref="AL51">IF(getColor(V51) = 16777215, 0, 1)</f>
        <v>0</v>
      </c>
    </row>
    <row r="52" spans="1:38">
      <c r="A52" s="1">
        <v>51</v>
      </c>
      <c r="B52" s="3" t="s">
        <v>27</v>
      </c>
      <c r="C52" s="7" t="s">
        <v>90</v>
      </c>
      <c r="D52" s="7" t="s">
        <v>74</v>
      </c>
      <c r="E52" s="8">
        <v>58.4191</v>
      </c>
      <c r="F52" s="8">
        <v>-134.60111111111109</v>
      </c>
      <c r="G52" s="9" t="s">
        <v>30</v>
      </c>
      <c r="H52" s="3" t="s">
        <v>31</v>
      </c>
      <c r="I52" s="3" t="s">
        <v>31</v>
      </c>
      <c r="J52" s="3" t="s">
        <v>31</v>
      </c>
      <c r="K52" s="7" t="s">
        <v>51</v>
      </c>
      <c r="L52" s="9">
        <v>8</v>
      </c>
      <c r="M52" s="9">
        <v>4</v>
      </c>
      <c r="N52" s="9">
        <f t="shared" si="0"/>
        <v>4</v>
      </c>
      <c r="O52" s="9"/>
      <c r="P52" s="9"/>
      <c r="Q52" s="25"/>
      <c r="R52" s="11">
        <v>0</v>
      </c>
      <c r="S52" s="1">
        <v>0.12</v>
      </c>
      <c r="T52" s="1">
        <f t="shared" si="1"/>
        <v>0.12</v>
      </c>
      <c r="U52" s="12">
        <v>0</v>
      </c>
      <c r="V52" s="13">
        <v>48.234608999999999</v>
      </c>
      <c r="W52" s="14">
        <f t="shared" si="2"/>
        <v>2315.2612319999998</v>
      </c>
      <c r="X52" s="25"/>
      <c r="Y52" s="14">
        <f t="shared" si="3"/>
        <v>2315.2612319999998</v>
      </c>
      <c r="Z52" s="3"/>
      <c r="AA52" s="3"/>
      <c r="AB52" s="5"/>
      <c r="AC52" s="5"/>
      <c r="AD52" s="28"/>
      <c r="AE52" s="28"/>
      <c r="AF52" s="3"/>
      <c r="AG52" s="7"/>
      <c r="AH52" s="7"/>
      <c r="AI52" s="3" t="s">
        <v>75</v>
      </c>
      <c r="AJ52" s="7" t="s">
        <v>67</v>
      </c>
      <c r="AK52" s="3"/>
      <c r="AL52" cm="1">
        <f t="array" ref="AL52">IF(getColor(V52) = 16777215, 0, 1)</f>
        <v>0</v>
      </c>
    </row>
    <row r="53" spans="1:38">
      <c r="A53" s="1">
        <v>52</v>
      </c>
      <c r="B53" s="3" t="s">
        <v>27</v>
      </c>
      <c r="C53" s="7" t="s">
        <v>90</v>
      </c>
      <c r="D53" s="7" t="s">
        <v>74</v>
      </c>
      <c r="E53" s="8">
        <v>58.4191</v>
      </c>
      <c r="F53" s="8">
        <v>-134.60111111111109</v>
      </c>
      <c r="G53" s="9" t="s">
        <v>30</v>
      </c>
      <c r="H53" s="3" t="s">
        <v>31</v>
      </c>
      <c r="I53" s="3" t="s">
        <v>31</v>
      </c>
      <c r="J53" s="3" t="s">
        <v>31</v>
      </c>
      <c r="K53" s="7" t="s">
        <v>52</v>
      </c>
      <c r="L53" s="9">
        <v>4</v>
      </c>
      <c r="M53" s="9">
        <v>0</v>
      </c>
      <c r="N53" s="9">
        <f t="shared" si="0"/>
        <v>4</v>
      </c>
      <c r="O53" s="9"/>
      <c r="P53" s="9"/>
      <c r="Q53" s="25"/>
      <c r="R53" s="11">
        <v>0</v>
      </c>
      <c r="S53" s="1">
        <v>0.15</v>
      </c>
      <c r="T53" s="1">
        <f t="shared" si="1"/>
        <v>0.15</v>
      </c>
      <c r="U53" s="12">
        <v>0</v>
      </c>
      <c r="V53" s="13">
        <v>45.191204999999997</v>
      </c>
      <c r="W53" s="14">
        <f t="shared" si="2"/>
        <v>2711.4722999999999</v>
      </c>
      <c r="X53" s="25"/>
      <c r="Y53" s="14">
        <f t="shared" si="3"/>
        <v>2711.4722999999999</v>
      </c>
      <c r="Z53" s="3"/>
      <c r="AA53" s="3"/>
      <c r="AB53" s="5"/>
      <c r="AC53" s="1"/>
      <c r="AD53" s="28"/>
      <c r="AE53" s="28"/>
      <c r="AF53" s="3"/>
      <c r="AG53" s="7"/>
      <c r="AH53" s="7"/>
      <c r="AI53" s="3" t="s">
        <v>75</v>
      </c>
      <c r="AJ53" s="7" t="s">
        <v>76</v>
      </c>
      <c r="AK53" s="3"/>
      <c r="AL53" cm="1">
        <f t="array" ref="AL53">IF(getColor(V53) = 16777215, 0, 1)</f>
        <v>0</v>
      </c>
    </row>
    <row r="54" spans="1:38">
      <c r="A54" s="1">
        <v>53</v>
      </c>
      <c r="B54" s="3" t="s">
        <v>27</v>
      </c>
      <c r="C54" s="7" t="s">
        <v>90</v>
      </c>
      <c r="D54" s="7" t="s">
        <v>74</v>
      </c>
      <c r="E54" s="8">
        <v>58.4191</v>
      </c>
      <c r="F54" s="8">
        <v>-134.60111111111109</v>
      </c>
      <c r="G54" s="9" t="s">
        <v>30</v>
      </c>
      <c r="H54" s="3" t="s">
        <v>31</v>
      </c>
      <c r="I54" s="3" t="s">
        <v>31</v>
      </c>
      <c r="J54" s="3" t="s">
        <v>31</v>
      </c>
      <c r="K54" s="7" t="s">
        <v>41</v>
      </c>
      <c r="L54" s="27">
        <v>3</v>
      </c>
      <c r="M54" s="9">
        <v>9</v>
      </c>
      <c r="N54" s="9">
        <f t="shared" si="0"/>
        <v>6</v>
      </c>
      <c r="O54" s="9"/>
      <c r="P54" s="9"/>
      <c r="Q54" s="25"/>
      <c r="R54" s="11">
        <v>0</v>
      </c>
      <c r="S54" s="1">
        <v>1.46</v>
      </c>
      <c r="T54" s="1">
        <f t="shared" si="1"/>
        <v>1.46</v>
      </c>
      <c r="U54" s="12">
        <v>12.205763667219447</v>
      </c>
      <c r="V54" s="13">
        <v>1.04</v>
      </c>
      <c r="W54" s="14">
        <f t="shared" si="2"/>
        <v>799.84061068616393</v>
      </c>
      <c r="X54" s="18"/>
      <c r="Y54" s="14">
        <f t="shared" si="3"/>
        <v>799.84061068616393</v>
      </c>
      <c r="Z54" s="3"/>
      <c r="AA54" s="3"/>
      <c r="AB54" s="5"/>
      <c r="AC54" s="1"/>
      <c r="AD54" s="28"/>
      <c r="AE54" s="28"/>
      <c r="AF54" s="3"/>
      <c r="AG54" s="7"/>
      <c r="AH54" s="7"/>
      <c r="AI54" s="3" t="s">
        <v>75</v>
      </c>
      <c r="AJ54" s="7" t="s">
        <v>61</v>
      </c>
      <c r="AK54" s="3"/>
      <c r="AL54" cm="1">
        <f t="array" ref="AL54">IF(getColor(V54) = 16777215, 0, 1)</f>
        <v>0</v>
      </c>
    </row>
    <row r="55" spans="1:38">
      <c r="A55" s="1">
        <v>54</v>
      </c>
      <c r="B55" s="3" t="s">
        <v>27</v>
      </c>
      <c r="C55" s="7" t="s">
        <v>91</v>
      </c>
      <c r="D55" s="7" t="s">
        <v>92</v>
      </c>
      <c r="E55" s="8">
        <v>58.4191</v>
      </c>
      <c r="F55" s="8">
        <v>-134.60111111111109</v>
      </c>
      <c r="G55" s="9" t="s">
        <v>30</v>
      </c>
      <c r="H55" s="3" t="s">
        <v>31</v>
      </c>
      <c r="I55" s="3" t="s">
        <v>31</v>
      </c>
      <c r="J55" s="3" t="s">
        <v>31</v>
      </c>
      <c r="K55" s="7" t="s">
        <v>49</v>
      </c>
      <c r="L55" s="9">
        <v>18</v>
      </c>
      <c r="M55" s="9">
        <v>17</v>
      </c>
      <c r="N55" s="9">
        <f t="shared" si="0"/>
        <v>1</v>
      </c>
      <c r="O55" s="29">
        <f>M61</f>
        <v>42</v>
      </c>
      <c r="P55" s="29">
        <f>L55</f>
        <v>18</v>
      </c>
      <c r="Q55" s="29">
        <f>P55+O55</f>
        <v>60</v>
      </c>
      <c r="R55" s="11">
        <v>0</v>
      </c>
      <c r="S55" s="1">
        <v>0.08</v>
      </c>
      <c r="T55" s="1">
        <f t="shared" si="1"/>
        <v>0.08</v>
      </c>
      <c r="U55" s="12">
        <v>0</v>
      </c>
      <c r="V55" s="13">
        <v>57.862414999999999</v>
      </c>
      <c r="W55" s="14">
        <f t="shared" si="2"/>
        <v>462.89931999999999</v>
      </c>
      <c r="X55" s="14">
        <f>SUM(W55:W61)</f>
        <v>20006.513902089915</v>
      </c>
      <c r="Y55" s="14">
        <f t="shared" si="3"/>
        <v>462.89931999999999</v>
      </c>
      <c r="Z55" s="15">
        <f>SUM(Y55:Y61)/10^6*10^4</f>
        <v>200.06513902089918</v>
      </c>
      <c r="AA55" s="16">
        <v>59.027925269512643</v>
      </c>
      <c r="AB55" s="5"/>
      <c r="AC55" s="1"/>
      <c r="AD55" s="28"/>
      <c r="AE55" s="28"/>
      <c r="AF55" s="3"/>
      <c r="AG55" s="7"/>
      <c r="AH55" s="7"/>
      <c r="AI55" s="3" t="s">
        <v>75</v>
      </c>
      <c r="AJ55" s="7" t="s">
        <v>60</v>
      </c>
      <c r="AK55" s="3"/>
      <c r="AL55" cm="1">
        <f t="array" ref="AL55">IF(getColor(V55) = 16777215, 0, 1)</f>
        <v>0</v>
      </c>
    </row>
    <row r="56" spans="1:38">
      <c r="A56" s="1">
        <v>55</v>
      </c>
      <c r="B56" s="3" t="s">
        <v>27</v>
      </c>
      <c r="C56" s="7" t="s">
        <v>91</v>
      </c>
      <c r="D56" s="7" t="s">
        <v>92</v>
      </c>
      <c r="E56" s="8">
        <v>58.4191</v>
      </c>
      <c r="F56" s="8">
        <v>-134.60111111111109</v>
      </c>
      <c r="G56" s="9" t="s">
        <v>30</v>
      </c>
      <c r="H56" s="3" t="s">
        <v>31</v>
      </c>
      <c r="I56" s="3" t="s">
        <v>31</v>
      </c>
      <c r="J56" s="3" t="s">
        <v>31</v>
      </c>
      <c r="K56" s="7" t="s">
        <v>51</v>
      </c>
      <c r="L56" s="9">
        <v>17</v>
      </c>
      <c r="M56" s="9">
        <v>10</v>
      </c>
      <c r="N56" s="9">
        <f t="shared" si="0"/>
        <v>7</v>
      </c>
      <c r="O56" s="9"/>
      <c r="P56" s="9"/>
      <c r="Q56" s="25"/>
      <c r="R56" s="11">
        <v>0</v>
      </c>
      <c r="S56" s="1">
        <v>0.12</v>
      </c>
      <c r="T56" s="1">
        <f t="shared" si="1"/>
        <v>0.12</v>
      </c>
      <c r="U56" s="12">
        <v>0</v>
      </c>
      <c r="V56" s="13">
        <v>55.187979999999996</v>
      </c>
      <c r="W56" s="14">
        <f t="shared" si="2"/>
        <v>4635.7903199999992</v>
      </c>
      <c r="X56" s="25"/>
      <c r="Y56" s="14">
        <f t="shared" si="3"/>
        <v>4635.7903199999992</v>
      </c>
      <c r="Z56" s="3"/>
      <c r="AA56" s="3"/>
      <c r="AB56" s="5"/>
      <c r="AC56" s="5"/>
      <c r="AD56" s="28"/>
      <c r="AE56" s="28"/>
      <c r="AF56" s="3"/>
      <c r="AG56" s="7"/>
      <c r="AH56" s="7"/>
      <c r="AI56" s="3" t="s">
        <v>75</v>
      </c>
      <c r="AJ56" s="7" t="s">
        <v>67</v>
      </c>
      <c r="AK56" s="3"/>
      <c r="AL56" cm="1">
        <f t="array" ref="AL56">IF(getColor(V56) = 16777215, 0, 1)</f>
        <v>0</v>
      </c>
    </row>
    <row r="57" spans="1:38">
      <c r="A57" s="1">
        <v>56</v>
      </c>
      <c r="B57" s="3" t="s">
        <v>27</v>
      </c>
      <c r="C57" s="7" t="s">
        <v>91</v>
      </c>
      <c r="D57" s="7" t="s">
        <v>92</v>
      </c>
      <c r="E57" s="8">
        <v>58.4191</v>
      </c>
      <c r="F57" s="8">
        <v>-134.60111111111109</v>
      </c>
      <c r="G57" s="9" t="s">
        <v>30</v>
      </c>
      <c r="H57" s="3" t="s">
        <v>31</v>
      </c>
      <c r="I57" s="3" t="s">
        <v>31</v>
      </c>
      <c r="J57" s="3" t="s">
        <v>31</v>
      </c>
      <c r="K57" s="7" t="s">
        <v>52</v>
      </c>
      <c r="L57" s="9">
        <v>10</v>
      </c>
      <c r="M57" s="9">
        <v>0</v>
      </c>
      <c r="N57" s="9">
        <f t="shared" si="0"/>
        <v>10</v>
      </c>
      <c r="O57" s="9"/>
      <c r="P57" s="9"/>
      <c r="Q57" s="25"/>
      <c r="R57" s="11">
        <v>0</v>
      </c>
      <c r="S57" s="1">
        <v>0.15</v>
      </c>
      <c r="T57" s="1">
        <f t="shared" si="1"/>
        <v>0.15</v>
      </c>
      <c r="U57" s="12">
        <v>0</v>
      </c>
      <c r="V57" s="13">
        <v>41.757874999999999</v>
      </c>
      <c r="W57" s="14">
        <f t="shared" si="2"/>
        <v>6263.6812499999987</v>
      </c>
      <c r="X57" s="25"/>
      <c r="Y57" s="14">
        <f t="shared" si="3"/>
        <v>6263.6812499999987</v>
      </c>
      <c r="Z57" s="3"/>
      <c r="AA57" s="3"/>
      <c r="AB57" s="5"/>
      <c r="AC57" s="1"/>
      <c r="AD57" s="28"/>
      <c r="AE57" s="28"/>
      <c r="AF57" s="3"/>
      <c r="AG57" s="7"/>
      <c r="AH57" s="7"/>
      <c r="AI57" s="3" t="s">
        <v>75</v>
      </c>
      <c r="AJ57" s="7" t="s">
        <v>76</v>
      </c>
      <c r="AK57" s="3"/>
      <c r="AL57" cm="1">
        <f t="array" ref="AL57">IF(getColor(V57) = 16777215, 0, 1)</f>
        <v>0</v>
      </c>
    </row>
    <row r="58" spans="1:38">
      <c r="A58" s="1">
        <v>57</v>
      </c>
      <c r="B58" s="3" t="s">
        <v>27</v>
      </c>
      <c r="C58" s="7" t="s">
        <v>91</v>
      </c>
      <c r="D58" s="7" t="s">
        <v>92</v>
      </c>
      <c r="E58" s="8">
        <v>58.4191</v>
      </c>
      <c r="F58" s="8">
        <v>-134.60111111111109</v>
      </c>
      <c r="G58" s="9" t="s">
        <v>30</v>
      </c>
      <c r="H58" s="3" t="s">
        <v>31</v>
      </c>
      <c r="I58" s="3" t="s">
        <v>31</v>
      </c>
      <c r="J58" s="3" t="s">
        <v>31</v>
      </c>
      <c r="K58" s="7" t="s">
        <v>47</v>
      </c>
      <c r="L58" s="9">
        <v>0</v>
      </c>
      <c r="M58" s="9">
        <v>2</v>
      </c>
      <c r="N58" s="9">
        <f t="shared" si="0"/>
        <v>2</v>
      </c>
      <c r="O58" s="9"/>
      <c r="P58" s="9"/>
      <c r="Q58" s="25"/>
      <c r="R58" s="11">
        <v>0.99</v>
      </c>
      <c r="S58" s="1">
        <v>1.31</v>
      </c>
      <c r="T58" s="1">
        <f t="shared" si="1"/>
        <v>0.99</v>
      </c>
      <c r="U58" s="12">
        <v>24.885014440047062</v>
      </c>
      <c r="V58" s="13">
        <v>1.04</v>
      </c>
      <c r="W58" s="14">
        <f t="shared" si="2"/>
        <v>154.67677826505511</v>
      </c>
      <c r="X58" s="18"/>
      <c r="Y58" s="14">
        <f t="shared" si="3"/>
        <v>154.67677826505511</v>
      </c>
      <c r="Z58" s="3"/>
      <c r="AA58" s="3"/>
      <c r="AB58" s="5"/>
      <c r="AC58" s="1"/>
      <c r="AD58" s="28"/>
      <c r="AE58" s="28"/>
      <c r="AF58" s="3"/>
      <c r="AG58" s="7"/>
      <c r="AH58" s="7"/>
      <c r="AI58" s="3" t="s">
        <v>75</v>
      </c>
      <c r="AJ58" s="7" t="s">
        <v>47</v>
      </c>
      <c r="AK58" s="3"/>
      <c r="AL58" cm="1">
        <f t="array" ref="AL58">IF(getColor(V58) = 16777215, 0, 1)</f>
        <v>0</v>
      </c>
    </row>
    <row r="59" spans="1:38">
      <c r="A59" s="1">
        <v>58</v>
      </c>
      <c r="B59" s="3" t="s">
        <v>27</v>
      </c>
      <c r="C59" s="7" t="s">
        <v>91</v>
      </c>
      <c r="D59" s="7" t="s">
        <v>92</v>
      </c>
      <c r="E59" s="8">
        <v>58.4191</v>
      </c>
      <c r="F59" s="8">
        <v>-134.60111111111109</v>
      </c>
      <c r="G59" s="9" t="s">
        <v>30</v>
      </c>
      <c r="H59" s="3" t="s">
        <v>31</v>
      </c>
      <c r="I59" s="3" t="s">
        <v>31</v>
      </c>
      <c r="J59" s="3" t="s">
        <v>31</v>
      </c>
      <c r="K59" s="7" t="s">
        <v>68</v>
      </c>
      <c r="L59" s="9">
        <v>2</v>
      </c>
      <c r="M59" s="9">
        <v>9</v>
      </c>
      <c r="N59" s="9">
        <f t="shared" si="0"/>
        <v>7</v>
      </c>
      <c r="O59" s="9"/>
      <c r="P59" s="9"/>
      <c r="Q59" s="25"/>
      <c r="R59" s="11">
        <v>0</v>
      </c>
      <c r="S59" s="1">
        <v>1.19</v>
      </c>
      <c r="T59" s="1">
        <f t="shared" si="1"/>
        <v>1.19</v>
      </c>
      <c r="U59" s="12">
        <v>19.551131972626582</v>
      </c>
      <c r="V59" s="13">
        <v>4.07</v>
      </c>
      <c r="W59" s="14">
        <f t="shared" si="2"/>
        <v>2727.466017618844</v>
      </c>
      <c r="X59" s="18"/>
      <c r="Y59" s="14">
        <f t="shared" si="3"/>
        <v>2727.466017618844</v>
      </c>
      <c r="Z59" s="3"/>
      <c r="AA59" s="3"/>
      <c r="AB59" s="5"/>
      <c r="AC59" s="1"/>
      <c r="AD59" s="28"/>
      <c r="AE59" s="28"/>
      <c r="AF59" s="3"/>
      <c r="AG59" s="7"/>
      <c r="AH59" s="7"/>
      <c r="AI59" s="3" t="s">
        <v>75</v>
      </c>
      <c r="AJ59" s="7" t="s">
        <v>68</v>
      </c>
      <c r="AK59" s="3"/>
      <c r="AL59" cm="1">
        <f t="array" ref="AL59">IF(getColor(V59) = 16777215, 0, 1)</f>
        <v>0</v>
      </c>
    </row>
    <row r="60" spans="1:38">
      <c r="A60" s="1">
        <v>59</v>
      </c>
      <c r="B60" s="3" t="s">
        <v>27</v>
      </c>
      <c r="C60" s="7" t="s">
        <v>91</v>
      </c>
      <c r="D60" s="7" t="s">
        <v>92</v>
      </c>
      <c r="E60" s="8">
        <v>58.4191</v>
      </c>
      <c r="F60" s="8">
        <v>-134.60111111111109</v>
      </c>
      <c r="G60" s="9" t="s">
        <v>30</v>
      </c>
      <c r="H60" s="3" t="s">
        <v>31</v>
      </c>
      <c r="I60" s="3" t="s">
        <v>31</v>
      </c>
      <c r="J60" s="3" t="s">
        <v>31</v>
      </c>
      <c r="K60" s="7" t="s">
        <v>93</v>
      </c>
      <c r="L60" s="9">
        <v>9</v>
      </c>
      <c r="M60" s="9">
        <v>24</v>
      </c>
      <c r="N60" s="9">
        <f t="shared" si="0"/>
        <v>15</v>
      </c>
      <c r="O60" s="9"/>
      <c r="P60" s="9"/>
      <c r="Q60" s="25"/>
      <c r="R60" s="11">
        <v>0</v>
      </c>
      <c r="S60" s="1">
        <v>1.19</v>
      </c>
      <c r="T60" s="1">
        <f t="shared" si="1"/>
        <v>1.19</v>
      </c>
      <c r="U60" s="12">
        <v>20.939450886357989</v>
      </c>
      <c r="V60" s="13">
        <v>2.2999999999999998</v>
      </c>
      <c r="W60" s="14">
        <f t="shared" si="2"/>
        <v>3245.8308438605718</v>
      </c>
      <c r="X60" s="18"/>
      <c r="Y60" s="14">
        <f t="shared" si="3"/>
        <v>3245.8308438605718</v>
      </c>
      <c r="Z60" s="3"/>
      <c r="AA60" s="3"/>
      <c r="AB60" s="5"/>
      <c r="AC60" s="1"/>
      <c r="AD60" s="28"/>
      <c r="AE60" s="28"/>
      <c r="AF60" s="3"/>
      <c r="AG60" s="7"/>
      <c r="AH60" s="7"/>
      <c r="AI60" s="3" t="s">
        <v>75</v>
      </c>
      <c r="AJ60" s="7" t="s">
        <v>94</v>
      </c>
      <c r="AK60" s="3"/>
      <c r="AL60" cm="1">
        <f t="array" ref="AL60">IF(getColor(V60) = 16777215, 0, 1)</f>
        <v>0</v>
      </c>
    </row>
    <row r="61" spans="1:38">
      <c r="A61" s="1">
        <v>60</v>
      </c>
      <c r="B61" s="3" t="s">
        <v>27</v>
      </c>
      <c r="C61" s="7" t="s">
        <v>91</v>
      </c>
      <c r="D61" s="7" t="s">
        <v>92</v>
      </c>
      <c r="E61" s="8">
        <v>58.4191</v>
      </c>
      <c r="F61" s="8">
        <v>-134.60111111111109</v>
      </c>
      <c r="G61" s="9" t="s">
        <v>30</v>
      </c>
      <c r="H61" s="3" t="s">
        <v>31</v>
      </c>
      <c r="I61" s="3" t="s">
        <v>31</v>
      </c>
      <c r="J61" s="3" t="s">
        <v>31</v>
      </c>
      <c r="K61" s="7" t="s">
        <v>38</v>
      </c>
      <c r="L61" s="9">
        <v>24</v>
      </c>
      <c r="M61" s="9">
        <v>42</v>
      </c>
      <c r="N61" s="9">
        <f t="shared" si="0"/>
        <v>18</v>
      </c>
      <c r="O61" s="9"/>
      <c r="P61" s="9"/>
      <c r="Q61" s="25"/>
      <c r="R61" s="11">
        <v>1.1100000000000001</v>
      </c>
      <c r="S61" s="1">
        <v>1.91</v>
      </c>
      <c r="T61" s="1">
        <f t="shared" si="1"/>
        <v>1.1100000000000001</v>
      </c>
      <c r="U61" s="12">
        <v>40.596979707409162</v>
      </c>
      <c r="V61" s="13">
        <v>2.12</v>
      </c>
      <c r="W61" s="14">
        <f t="shared" si="2"/>
        <v>2516.1693723454459</v>
      </c>
      <c r="X61" s="18"/>
      <c r="Y61" s="14">
        <f t="shared" si="3"/>
        <v>2516.1693723454459</v>
      </c>
      <c r="Z61" s="3"/>
      <c r="AA61" s="3"/>
      <c r="AB61" s="5"/>
      <c r="AC61" s="1"/>
      <c r="AD61" s="28"/>
      <c r="AE61" s="28"/>
      <c r="AF61" s="3"/>
      <c r="AG61" s="7"/>
      <c r="AH61" s="7"/>
      <c r="AI61" s="3" t="s">
        <v>75</v>
      </c>
      <c r="AJ61" s="7" t="s">
        <v>38</v>
      </c>
      <c r="AK61" s="3"/>
      <c r="AL61" cm="1">
        <f t="array" ref="AL61">IF(getColor(V61) = 16777215, 0, 1)</f>
        <v>0</v>
      </c>
    </row>
    <row r="62" spans="1:38">
      <c r="A62" s="1">
        <v>61</v>
      </c>
      <c r="B62" s="3" t="s">
        <v>27</v>
      </c>
      <c r="C62" s="7" t="s">
        <v>95</v>
      </c>
      <c r="D62" s="7" t="s">
        <v>74</v>
      </c>
      <c r="E62" s="8">
        <v>58.489133333333335</v>
      </c>
      <c r="F62" s="8">
        <v>-134.54885555555555</v>
      </c>
      <c r="G62" s="9" t="s">
        <v>30</v>
      </c>
      <c r="H62" s="3" t="s">
        <v>31</v>
      </c>
      <c r="I62" s="3" t="s">
        <v>31</v>
      </c>
      <c r="J62" s="3" t="s">
        <v>31</v>
      </c>
      <c r="K62" s="7" t="s">
        <v>49</v>
      </c>
      <c r="L62" s="9">
        <v>10</v>
      </c>
      <c r="M62" s="9">
        <v>8</v>
      </c>
      <c r="N62" s="9">
        <f t="shared" si="0"/>
        <v>2</v>
      </c>
      <c r="O62" s="29">
        <f>M68</f>
        <v>100</v>
      </c>
      <c r="P62" s="29">
        <f>L62</f>
        <v>10</v>
      </c>
      <c r="Q62" s="29">
        <f>P62+O62</f>
        <v>110</v>
      </c>
      <c r="R62" s="11">
        <v>0</v>
      </c>
      <c r="S62" s="1">
        <v>0.08</v>
      </c>
      <c r="T62" s="1">
        <f t="shared" si="1"/>
        <v>0.08</v>
      </c>
      <c r="U62" s="12">
        <v>0</v>
      </c>
      <c r="V62" s="13">
        <v>57.070705000000004</v>
      </c>
      <c r="W62" s="14">
        <f t="shared" si="2"/>
        <v>913.13128000000017</v>
      </c>
      <c r="X62" s="14">
        <f>SUM(W62:W68)</f>
        <v>9418.2428315597135</v>
      </c>
      <c r="Y62" s="14">
        <f t="shared" si="3"/>
        <v>913.13128000000017</v>
      </c>
      <c r="Z62" s="15">
        <f>SUM(Y62:Y68)/10^6*10^4</f>
        <v>94.182428315597136</v>
      </c>
      <c r="AA62" s="16">
        <v>33.018902583137184</v>
      </c>
      <c r="AB62" s="5"/>
      <c r="AC62" s="1"/>
      <c r="AD62" s="28"/>
      <c r="AE62" s="28"/>
      <c r="AF62" s="3"/>
      <c r="AG62" s="7"/>
      <c r="AH62" s="7"/>
      <c r="AI62" s="3" t="s">
        <v>75</v>
      </c>
      <c r="AJ62" s="7" t="s">
        <v>60</v>
      </c>
      <c r="AK62" s="3"/>
      <c r="AL62" cm="1">
        <f t="array" ref="AL62">IF(getColor(V62) = 16777215, 0, 1)</f>
        <v>0</v>
      </c>
    </row>
    <row r="63" spans="1:38">
      <c r="A63" s="1">
        <v>62</v>
      </c>
      <c r="B63" s="3" t="s">
        <v>27</v>
      </c>
      <c r="C63" s="7" t="s">
        <v>95</v>
      </c>
      <c r="D63" s="7" t="s">
        <v>74</v>
      </c>
      <c r="E63" s="8">
        <v>58.489133333333335</v>
      </c>
      <c r="F63" s="8">
        <v>-134.54885555555555</v>
      </c>
      <c r="G63" s="9" t="s">
        <v>30</v>
      </c>
      <c r="H63" s="3" t="s">
        <v>31</v>
      </c>
      <c r="I63" s="3" t="s">
        <v>31</v>
      </c>
      <c r="J63" s="3" t="s">
        <v>31</v>
      </c>
      <c r="K63" s="7" t="s">
        <v>51</v>
      </c>
      <c r="L63" s="9">
        <v>8</v>
      </c>
      <c r="M63" s="9">
        <v>4</v>
      </c>
      <c r="N63" s="9">
        <f t="shared" si="0"/>
        <v>4</v>
      </c>
      <c r="O63" s="9"/>
      <c r="P63" s="9"/>
      <c r="Q63" s="25"/>
      <c r="R63" s="11">
        <v>0</v>
      </c>
      <c r="S63" s="1">
        <v>0.12</v>
      </c>
      <c r="T63" s="1">
        <f t="shared" si="1"/>
        <v>0.12</v>
      </c>
      <c r="U63" s="12">
        <v>0</v>
      </c>
      <c r="V63" s="13">
        <v>57.485869999999998</v>
      </c>
      <c r="W63" s="14">
        <f t="shared" si="2"/>
        <v>2759.3217599999994</v>
      </c>
      <c r="X63" s="25"/>
      <c r="Y63" s="14">
        <f t="shared" si="3"/>
        <v>2759.3217599999994</v>
      </c>
      <c r="Z63" s="3"/>
      <c r="AA63" s="3"/>
      <c r="AB63" s="5"/>
      <c r="AC63" s="5"/>
      <c r="AD63" s="28"/>
      <c r="AE63" s="28"/>
      <c r="AF63" s="3"/>
      <c r="AG63" s="7"/>
      <c r="AH63" s="7"/>
      <c r="AI63" s="3" t="s">
        <v>75</v>
      </c>
      <c r="AJ63" s="7" t="s">
        <v>67</v>
      </c>
      <c r="AK63" s="3"/>
      <c r="AL63" cm="1">
        <f t="array" ref="AL63">IF(getColor(V63) = 16777215, 0, 1)</f>
        <v>0</v>
      </c>
    </row>
    <row r="64" spans="1:38">
      <c r="A64" s="1">
        <v>63</v>
      </c>
      <c r="B64" s="3" t="s">
        <v>27</v>
      </c>
      <c r="C64" s="7" t="s">
        <v>95</v>
      </c>
      <c r="D64" s="7" t="s">
        <v>74</v>
      </c>
      <c r="E64" s="8">
        <v>58.489133333333335</v>
      </c>
      <c r="F64" s="8">
        <v>-134.54885555555555</v>
      </c>
      <c r="G64" s="9" t="s">
        <v>30</v>
      </c>
      <c r="H64" s="3" t="s">
        <v>31</v>
      </c>
      <c r="I64" s="3" t="s">
        <v>31</v>
      </c>
      <c r="J64" s="3" t="s">
        <v>31</v>
      </c>
      <c r="K64" s="7" t="s">
        <v>52</v>
      </c>
      <c r="L64" s="9">
        <v>4</v>
      </c>
      <c r="M64" s="9">
        <v>0</v>
      </c>
      <c r="N64" s="9">
        <f t="shared" si="0"/>
        <v>4</v>
      </c>
      <c r="O64" s="9"/>
      <c r="P64" s="9"/>
      <c r="Q64" s="25"/>
      <c r="R64" s="11">
        <v>0</v>
      </c>
      <c r="S64" s="1">
        <v>0.15</v>
      </c>
      <c r="T64" s="1">
        <f t="shared" si="1"/>
        <v>0.15</v>
      </c>
      <c r="U64" s="12">
        <v>0</v>
      </c>
      <c r="V64" s="13">
        <v>47.483290000000004</v>
      </c>
      <c r="W64" s="14">
        <f t="shared" si="2"/>
        <v>2848.9974000000002</v>
      </c>
      <c r="X64" s="25"/>
      <c r="Y64" s="14">
        <f t="shared" si="3"/>
        <v>2848.9974000000002</v>
      </c>
      <c r="Z64" s="3"/>
      <c r="AA64" s="3"/>
      <c r="AB64" s="5"/>
      <c r="AC64" s="1"/>
      <c r="AD64" s="28"/>
      <c r="AE64" s="28"/>
      <c r="AF64" s="3"/>
      <c r="AG64" s="7"/>
      <c r="AH64" s="7"/>
      <c r="AI64" s="3" t="s">
        <v>75</v>
      </c>
      <c r="AJ64" s="7" t="s">
        <v>76</v>
      </c>
      <c r="AK64" s="3"/>
      <c r="AL64" cm="1">
        <f t="array" ref="AL64">IF(getColor(V64) = 16777215, 0, 1)</f>
        <v>0</v>
      </c>
    </row>
    <row r="65" spans="1:38">
      <c r="A65" s="1">
        <v>64</v>
      </c>
      <c r="B65" s="3" t="s">
        <v>27</v>
      </c>
      <c r="C65" s="7" t="s">
        <v>95</v>
      </c>
      <c r="D65" s="7" t="s">
        <v>74</v>
      </c>
      <c r="E65" s="8">
        <v>58.489133333333335</v>
      </c>
      <c r="F65" s="8">
        <v>-134.54885555555555</v>
      </c>
      <c r="G65" s="9" t="s">
        <v>30</v>
      </c>
      <c r="H65" s="3" t="s">
        <v>31</v>
      </c>
      <c r="I65" s="3" t="s">
        <v>31</v>
      </c>
      <c r="J65" s="3" t="s">
        <v>31</v>
      </c>
      <c r="K65" s="7" t="s">
        <v>47</v>
      </c>
      <c r="L65" s="9">
        <v>0</v>
      </c>
      <c r="M65" s="9">
        <v>3</v>
      </c>
      <c r="N65" s="9">
        <f t="shared" si="0"/>
        <v>3</v>
      </c>
      <c r="O65" s="9"/>
      <c r="P65" s="9"/>
      <c r="Q65" s="25"/>
      <c r="R65" s="11">
        <v>1.55</v>
      </c>
      <c r="S65" s="1">
        <v>1.31</v>
      </c>
      <c r="T65" s="1">
        <f t="shared" si="1"/>
        <v>1.55</v>
      </c>
      <c r="U65" s="12">
        <v>19.283569283569285</v>
      </c>
      <c r="V65" s="13">
        <v>2.1</v>
      </c>
      <c r="W65" s="14">
        <f t="shared" si="2"/>
        <v>788.19594594594594</v>
      </c>
      <c r="X65" s="18"/>
      <c r="Y65" s="14">
        <f t="shared" si="3"/>
        <v>788.19594594594594</v>
      </c>
      <c r="Z65" s="3"/>
      <c r="AA65" s="3"/>
      <c r="AB65" s="5"/>
      <c r="AC65" s="1"/>
      <c r="AD65" s="28"/>
      <c r="AE65" s="28"/>
      <c r="AF65" s="3"/>
      <c r="AG65" s="7"/>
      <c r="AH65" s="7"/>
      <c r="AI65" s="3" t="s">
        <v>75</v>
      </c>
      <c r="AJ65" s="7" t="s">
        <v>47</v>
      </c>
      <c r="AK65" s="3"/>
      <c r="AL65" cm="1">
        <f t="array" ref="AL65">IF(getColor(V65) = 16777215, 0, 1)</f>
        <v>0</v>
      </c>
    </row>
    <row r="66" spans="1:38">
      <c r="A66" s="1">
        <v>65</v>
      </c>
      <c r="B66" s="3" t="s">
        <v>27</v>
      </c>
      <c r="C66" s="7" t="s">
        <v>95</v>
      </c>
      <c r="D66" s="7" t="s">
        <v>74</v>
      </c>
      <c r="E66" s="8">
        <v>58.489133333333335</v>
      </c>
      <c r="F66" s="8">
        <v>-134.54885555555555</v>
      </c>
      <c r="G66" s="9" t="s">
        <v>30</v>
      </c>
      <c r="H66" s="3" t="s">
        <v>31</v>
      </c>
      <c r="I66" s="3" t="s">
        <v>31</v>
      </c>
      <c r="J66" s="3" t="s">
        <v>31</v>
      </c>
      <c r="K66" s="7" t="s">
        <v>41</v>
      </c>
      <c r="L66" s="9">
        <v>3</v>
      </c>
      <c r="M66" s="9">
        <v>9</v>
      </c>
      <c r="N66" s="9">
        <f t="shared" ref="N66:N129" si="4">ABS(M66-L66)</f>
        <v>6</v>
      </c>
      <c r="O66" s="9"/>
      <c r="P66" s="9"/>
      <c r="Q66" s="25"/>
      <c r="R66" s="11">
        <v>1.63</v>
      </c>
      <c r="S66" s="1">
        <v>1.46</v>
      </c>
      <c r="T66" s="1">
        <f t="shared" ref="T66:T129" si="5">IF(R66=0,S66,R66)</f>
        <v>1.63</v>
      </c>
      <c r="U66" s="12">
        <v>17.014613778705638</v>
      </c>
      <c r="V66" s="13">
        <v>0.6</v>
      </c>
      <c r="W66" s="14">
        <f t="shared" si="2"/>
        <v>486.95824634655531</v>
      </c>
      <c r="X66" s="18"/>
      <c r="Y66" s="14">
        <f t="shared" si="3"/>
        <v>486.95824634655531</v>
      </c>
      <c r="Z66" s="3"/>
      <c r="AA66" s="3"/>
      <c r="AB66" s="5"/>
      <c r="AC66" s="1"/>
      <c r="AD66" s="28"/>
      <c r="AE66" s="28"/>
      <c r="AF66" s="3"/>
      <c r="AG66" s="7"/>
      <c r="AH66" s="7"/>
      <c r="AI66" s="3" t="s">
        <v>75</v>
      </c>
      <c r="AJ66" s="7" t="s">
        <v>61</v>
      </c>
      <c r="AK66" s="3"/>
      <c r="AL66" cm="1">
        <f t="array" ref="AL66">IF(getColor(V66) = 16777215, 0, 1)</f>
        <v>0</v>
      </c>
    </row>
    <row r="67" spans="1:38">
      <c r="A67" s="1">
        <v>66</v>
      </c>
      <c r="B67" s="3" t="s">
        <v>27</v>
      </c>
      <c r="C67" s="7" t="s">
        <v>95</v>
      </c>
      <c r="D67" s="7" t="s">
        <v>74</v>
      </c>
      <c r="E67" s="8">
        <v>58.489133333333335</v>
      </c>
      <c r="F67" s="8">
        <v>-134.54885555555555</v>
      </c>
      <c r="G67" s="9" t="s">
        <v>30</v>
      </c>
      <c r="H67" s="3" t="s">
        <v>31</v>
      </c>
      <c r="I67" s="3" t="s">
        <v>31</v>
      </c>
      <c r="J67" s="3" t="s">
        <v>31</v>
      </c>
      <c r="K67" s="7" t="s">
        <v>80</v>
      </c>
      <c r="L67" s="9">
        <v>9</v>
      </c>
      <c r="M67" s="9">
        <v>42</v>
      </c>
      <c r="N67" s="9">
        <f t="shared" si="4"/>
        <v>33</v>
      </c>
      <c r="O67" s="9"/>
      <c r="P67" s="9"/>
      <c r="Q67" s="25"/>
      <c r="R67" s="11">
        <v>0</v>
      </c>
      <c r="S67" s="1">
        <v>1.91</v>
      </c>
      <c r="T67" s="1">
        <f t="shared" si="5"/>
        <v>1.91</v>
      </c>
      <c r="U67" s="12">
        <v>23.985871628929559</v>
      </c>
      <c r="V67" s="13">
        <v>0.24</v>
      </c>
      <c r="W67" s="14">
        <f t="shared" ref="W67:W130" si="6">T67*V67/100*N67*100*100*((100-U67)/100)</f>
        <v>1149.8809226948567</v>
      </c>
      <c r="X67" s="18"/>
      <c r="Y67" s="14">
        <f t="shared" si="3"/>
        <v>1149.8809226948567</v>
      </c>
      <c r="Z67" s="3"/>
      <c r="AA67" s="3"/>
      <c r="AB67" s="5"/>
      <c r="AC67" s="1"/>
      <c r="AD67" s="28"/>
      <c r="AE67" s="28"/>
      <c r="AF67" s="3"/>
      <c r="AG67" s="7"/>
      <c r="AH67" s="7"/>
      <c r="AI67" s="3" t="s">
        <v>75</v>
      </c>
      <c r="AJ67" s="7" t="s">
        <v>80</v>
      </c>
      <c r="AK67" s="3"/>
      <c r="AL67" cm="1">
        <f t="array" ref="AL67">IF(getColor(V67) = 16777215, 0, 1)</f>
        <v>0</v>
      </c>
    </row>
    <row r="68" spans="1:38">
      <c r="A68" s="1">
        <v>67</v>
      </c>
      <c r="B68" s="3" t="s">
        <v>27</v>
      </c>
      <c r="C68" s="7" t="s">
        <v>95</v>
      </c>
      <c r="D68" s="7" t="s">
        <v>74</v>
      </c>
      <c r="E68" s="8">
        <v>58.489133333333335</v>
      </c>
      <c r="F68" s="8">
        <v>-134.54885555555555</v>
      </c>
      <c r="G68" s="9" t="s">
        <v>30</v>
      </c>
      <c r="H68" s="3" t="s">
        <v>31</v>
      </c>
      <c r="I68" s="3" t="s">
        <v>31</v>
      </c>
      <c r="J68" s="3" t="s">
        <v>31</v>
      </c>
      <c r="K68" s="7" t="s">
        <v>81</v>
      </c>
      <c r="L68" s="9">
        <v>42</v>
      </c>
      <c r="M68" s="9">
        <v>100</v>
      </c>
      <c r="N68" s="9">
        <f t="shared" si="4"/>
        <v>58</v>
      </c>
      <c r="O68" s="9"/>
      <c r="P68" s="9"/>
      <c r="Q68" s="25"/>
      <c r="R68" s="11">
        <v>0</v>
      </c>
      <c r="S68" s="1">
        <v>1.91</v>
      </c>
      <c r="T68" s="1">
        <f t="shared" si="5"/>
        <v>1.91</v>
      </c>
      <c r="U68" s="12">
        <v>39.164202335084077</v>
      </c>
      <c r="V68" s="13">
        <v>7.0000000000000007E-2</v>
      </c>
      <c r="W68" s="14">
        <f t="shared" si="6"/>
        <v>471.75727657235706</v>
      </c>
      <c r="X68" s="18"/>
      <c r="Y68" s="14">
        <f t="shared" si="3"/>
        <v>471.75727657235706</v>
      </c>
      <c r="Z68" s="3"/>
      <c r="AA68" s="3"/>
      <c r="AB68" s="5"/>
      <c r="AC68" s="1"/>
      <c r="AD68" s="28"/>
      <c r="AE68" s="28"/>
      <c r="AF68" s="3"/>
      <c r="AG68" s="7"/>
      <c r="AH68" s="7"/>
      <c r="AI68" s="3" t="s">
        <v>75</v>
      </c>
      <c r="AJ68" s="7" t="s">
        <v>81</v>
      </c>
      <c r="AK68" s="3"/>
      <c r="AL68" cm="1">
        <f t="array" ref="AL68">IF(getColor(V68) = 16777215, 0, 1)</f>
        <v>0</v>
      </c>
    </row>
    <row r="69" spans="1:38">
      <c r="A69" s="1">
        <v>68</v>
      </c>
      <c r="B69" s="3" t="s">
        <v>27</v>
      </c>
      <c r="C69" s="3" t="s">
        <v>96</v>
      </c>
      <c r="D69" s="3" t="s">
        <v>97</v>
      </c>
      <c r="E69" s="30">
        <v>57.051916666666664</v>
      </c>
      <c r="F69" s="30">
        <v>-135.73086944444444</v>
      </c>
      <c r="G69" s="9" t="s">
        <v>30</v>
      </c>
      <c r="H69" s="3" t="s">
        <v>31</v>
      </c>
      <c r="I69" s="3" t="s">
        <v>31</v>
      </c>
      <c r="J69" s="3" t="s">
        <v>31</v>
      </c>
      <c r="K69" s="7" t="s">
        <v>53</v>
      </c>
      <c r="L69" s="9">
        <v>0</v>
      </c>
      <c r="M69" s="9">
        <v>20</v>
      </c>
      <c r="N69" s="9">
        <f t="shared" si="4"/>
        <v>20</v>
      </c>
      <c r="O69" s="10">
        <f>M74-P69</f>
        <v>33</v>
      </c>
      <c r="P69" s="10">
        <f>M69</f>
        <v>20</v>
      </c>
      <c r="Q69" s="10">
        <f>O69+P69</f>
        <v>53</v>
      </c>
      <c r="R69" s="11">
        <v>0</v>
      </c>
      <c r="S69" s="1">
        <v>0.11</v>
      </c>
      <c r="T69" s="1">
        <f t="shared" si="5"/>
        <v>0.11</v>
      </c>
      <c r="U69" s="12"/>
      <c r="V69" s="31">
        <v>37.79128262471886</v>
      </c>
      <c r="W69" s="14">
        <f t="shared" si="6"/>
        <v>8314.0821774381475</v>
      </c>
      <c r="X69" s="14">
        <f>SUM(W69:W74)</f>
        <v>33851.823136402825</v>
      </c>
      <c r="Y69" s="14">
        <f t="shared" si="3"/>
        <v>8314.0821774381475</v>
      </c>
      <c r="Z69" s="15">
        <f>SUM(Y69:Y74)/10^6*10^4</f>
        <v>338.51823136402822</v>
      </c>
      <c r="AA69" s="16">
        <v>85.314549116685384</v>
      </c>
      <c r="AB69" s="5"/>
      <c r="AC69" s="1"/>
      <c r="AD69" s="28"/>
      <c r="AE69" s="28"/>
      <c r="AF69" s="3"/>
      <c r="AG69" s="3"/>
      <c r="AH69" s="7"/>
      <c r="AI69" s="3" t="s">
        <v>59</v>
      </c>
      <c r="AJ69" s="7" t="s">
        <v>53</v>
      </c>
      <c r="AK69" s="3"/>
      <c r="AL69" cm="1">
        <f t="array" ref="AL69">IF(getColor(V69) = 16777215, 0, 1)</f>
        <v>1</v>
      </c>
    </row>
    <row r="70" spans="1:38">
      <c r="A70" s="1">
        <v>69</v>
      </c>
      <c r="B70" s="3" t="s">
        <v>27</v>
      </c>
      <c r="C70" s="3" t="s">
        <v>96</v>
      </c>
      <c r="D70" s="3" t="s">
        <v>97</v>
      </c>
      <c r="E70" s="30">
        <v>57.051916666666664</v>
      </c>
      <c r="F70" s="30">
        <v>-135.73086944444444</v>
      </c>
      <c r="G70" s="9" t="s">
        <v>30</v>
      </c>
      <c r="H70" s="3" t="s">
        <v>31</v>
      </c>
      <c r="I70" s="3" t="s">
        <v>31</v>
      </c>
      <c r="J70" s="3" t="s">
        <v>31</v>
      </c>
      <c r="K70" s="7" t="s">
        <v>51</v>
      </c>
      <c r="L70" s="9">
        <v>20</v>
      </c>
      <c r="M70" s="9">
        <v>28</v>
      </c>
      <c r="N70" s="9">
        <f t="shared" si="4"/>
        <v>8</v>
      </c>
      <c r="O70" s="9"/>
      <c r="P70" s="9"/>
      <c r="Q70" s="25"/>
      <c r="R70" s="11">
        <v>0</v>
      </c>
      <c r="S70" s="1">
        <v>0.12</v>
      </c>
      <c r="T70" s="1">
        <f t="shared" si="5"/>
        <v>0.12</v>
      </c>
      <c r="U70" s="12">
        <v>0</v>
      </c>
      <c r="V70" s="13">
        <v>33.450000000000003</v>
      </c>
      <c r="W70" s="14">
        <f t="shared" si="6"/>
        <v>3211.2000000000003</v>
      </c>
      <c r="X70" s="25"/>
      <c r="Y70" s="14">
        <f t="shared" si="3"/>
        <v>3211.2000000000003</v>
      </c>
      <c r="Z70" s="3"/>
      <c r="AA70" s="3"/>
      <c r="AB70" s="5"/>
      <c r="AC70" s="5"/>
      <c r="AD70" s="32"/>
      <c r="AE70" s="32"/>
      <c r="AF70" s="3"/>
      <c r="AG70" s="3"/>
      <c r="AH70" s="3"/>
      <c r="AI70" s="3" t="s">
        <v>59</v>
      </c>
      <c r="AJ70" s="3" t="s">
        <v>87</v>
      </c>
      <c r="AK70" s="3"/>
      <c r="AL70" cm="1">
        <f t="array" ref="AL70">IF(getColor(V70) = 16777215, 0, 1)</f>
        <v>0</v>
      </c>
    </row>
    <row r="71" spans="1:38">
      <c r="A71" s="1">
        <v>70</v>
      </c>
      <c r="B71" s="3" t="s">
        <v>27</v>
      </c>
      <c r="C71" s="3" t="s">
        <v>96</v>
      </c>
      <c r="D71" s="3" t="s">
        <v>97</v>
      </c>
      <c r="E71" s="30">
        <v>57.051916666666664</v>
      </c>
      <c r="F71" s="30">
        <v>-135.73086944444444</v>
      </c>
      <c r="G71" s="9" t="s">
        <v>30</v>
      </c>
      <c r="H71" s="3" t="s">
        <v>31</v>
      </c>
      <c r="I71" s="3" t="s">
        <v>31</v>
      </c>
      <c r="J71" s="3" t="s">
        <v>31</v>
      </c>
      <c r="K71" s="3" t="s">
        <v>47</v>
      </c>
      <c r="L71" s="9">
        <v>28</v>
      </c>
      <c r="M71" s="9">
        <v>33</v>
      </c>
      <c r="N71" s="9">
        <f t="shared" si="4"/>
        <v>5</v>
      </c>
      <c r="O71" s="9"/>
      <c r="P71" s="9"/>
      <c r="Q71" s="25"/>
      <c r="R71" s="11">
        <v>0</v>
      </c>
      <c r="S71" s="1">
        <v>0.93</v>
      </c>
      <c r="T71" s="1">
        <f t="shared" si="5"/>
        <v>0.93</v>
      </c>
      <c r="U71" s="12">
        <v>3.7765998300994092</v>
      </c>
      <c r="V71" s="13">
        <v>8.64</v>
      </c>
      <c r="W71" s="14">
        <f t="shared" si="6"/>
        <v>3865.8713252259267</v>
      </c>
      <c r="X71" s="25"/>
      <c r="Y71" s="14">
        <f t="shared" si="3"/>
        <v>3865.8713252259267</v>
      </c>
      <c r="Z71" s="3"/>
      <c r="AA71" s="3"/>
      <c r="AB71" s="5"/>
      <c r="AC71" s="1"/>
      <c r="AD71" s="28"/>
      <c r="AE71" s="28"/>
      <c r="AF71" s="3"/>
      <c r="AG71" s="3"/>
      <c r="AH71" s="3"/>
      <c r="AI71" s="3" t="s">
        <v>59</v>
      </c>
      <c r="AJ71" s="3" t="s">
        <v>47</v>
      </c>
      <c r="AK71" s="3"/>
      <c r="AL71" cm="1">
        <f t="array" ref="AL71">IF(getColor(V71) = 16777215, 0, 1)</f>
        <v>0</v>
      </c>
    </row>
    <row r="72" spans="1:38">
      <c r="A72" s="1">
        <v>71</v>
      </c>
      <c r="B72" s="3" t="s">
        <v>27</v>
      </c>
      <c r="C72" s="3" t="s">
        <v>96</v>
      </c>
      <c r="D72" s="3" t="s">
        <v>97</v>
      </c>
      <c r="E72" s="30">
        <v>57.051916666666664</v>
      </c>
      <c r="F72" s="30">
        <v>-135.73086944444444</v>
      </c>
      <c r="G72" s="9" t="s">
        <v>30</v>
      </c>
      <c r="H72" s="3" t="s">
        <v>31</v>
      </c>
      <c r="I72" s="3" t="s">
        <v>31</v>
      </c>
      <c r="J72" s="3" t="s">
        <v>31</v>
      </c>
      <c r="K72" s="3" t="s">
        <v>77</v>
      </c>
      <c r="L72" s="9">
        <v>33</v>
      </c>
      <c r="M72" s="9">
        <v>43</v>
      </c>
      <c r="N72" s="9">
        <f t="shared" si="4"/>
        <v>10</v>
      </c>
      <c r="O72" s="9"/>
      <c r="P72" s="9"/>
      <c r="Q72" s="25"/>
      <c r="R72" s="11">
        <v>0</v>
      </c>
      <c r="S72" s="1">
        <v>0.86</v>
      </c>
      <c r="T72" s="1">
        <f t="shared" si="5"/>
        <v>0.86</v>
      </c>
      <c r="U72" s="12">
        <v>4.0163627657316416</v>
      </c>
      <c r="V72" s="13">
        <v>10.58</v>
      </c>
      <c r="W72" s="14">
        <f t="shared" si="6"/>
        <v>8733.3591846716099</v>
      </c>
      <c r="X72" s="25"/>
      <c r="Y72" s="14">
        <f t="shared" si="3"/>
        <v>8733.3591846716099</v>
      </c>
      <c r="Z72" s="3"/>
      <c r="AA72" s="3"/>
      <c r="AB72" s="5"/>
      <c r="AC72" s="1"/>
      <c r="AD72" s="28"/>
      <c r="AE72" s="28"/>
      <c r="AF72" s="3"/>
      <c r="AG72" s="3"/>
      <c r="AH72" s="3"/>
      <c r="AI72" s="3" t="s">
        <v>59</v>
      </c>
      <c r="AJ72" s="3" t="s">
        <v>78</v>
      </c>
      <c r="AK72" s="3"/>
      <c r="AL72" cm="1">
        <f t="array" ref="AL72">IF(getColor(V72) = 16777215, 0, 1)</f>
        <v>0</v>
      </c>
    </row>
    <row r="73" spans="1:38">
      <c r="A73" s="1">
        <v>72</v>
      </c>
      <c r="B73" s="3" t="s">
        <v>27</v>
      </c>
      <c r="C73" s="3" t="s">
        <v>96</v>
      </c>
      <c r="D73" s="3" t="s">
        <v>97</v>
      </c>
      <c r="E73" s="30">
        <v>57.051916666666664</v>
      </c>
      <c r="F73" s="30">
        <v>-135.73086944444444</v>
      </c>
      <c r="G73" s="9" t="s">
        <v>30</v>
      </c>
      <c r="H73" s="3" t="s">
        <v>31</v>
      </c>
      <c r="I73" s="3" t="s">
        <v>31</v>
      </c>
      <c r="J73" s="3" t="s">
        <v>31</v>
      </c>
      <c r="K73" s="3" t="s">
        <v>80</v>
      </c>
      <c r="L73" s="9">
        <v>43</v>
      </c>
      <c r="M73" s="9">
        <v>53</v>
      </c>
      <c r="N73" s="9">
        <f t="shared" si="4"/>
        <v>10</v>
      </c>
      <c r="O73" s="9"/>
      <c r="P73" s="9"/>
      <c r="Q73" s="25"/>
      <c r="R73" s="11">
        <v>0</v>
      </c>
      <c r="S73" s="1">
        <v>1.74</v>
      </c>
      <c r="T73" s="1">
        <f t="shared" si="5"/>
        <v>1.74</v>
      </c>
      <c r="U73" s="12">
        <v>22.355440221367033</v>
      </c>
      <c r="V73" s="13">
        <v>7.2</v>
      </c>
      <c r="W73" s="14">
        <f t="shared" si="6"/>
        <v>9727.3104490671394</v>
      </c>
      <c r="X73" s="25"/>
      <c r="Y73" s="14">
        <f t="shared" si="3"/>
        <v>9727.3104490671394</v>
      </c>
      <c r="Z73" s="3"/>
      <c r="AA73" s="3"/>
      <c r="AB73" s="5"/>
      <c r="AC73" s="1"/>
      <c r="AD73" s="28"/>
      <c r="AE73" s="28"/>
      <c r="AF73" s="3"/>
      <c r="AG73" s="3"/>
      <c r="AH73" s="3"/>
      <c r="AI73" s="3" t="s">
        <v>59</v>
      </c>
      <c r="AJ73" s="3" t="s">
        <v>80</v>
      </c>
      <c r="AK73" s="3"/>
      <c r="AL73" cm="1">
        <f t="array" ref="AL73">IF(getColor(V73) = 16777215, 0, 1)</f>
        <v>0</v>
      </c>
    </row>
    <row r="74" spans="1:38">
      <c r="A74" s="1">
        <v>73</v>
      </c>
      <c r="B74" s="3" t="s">
        <v>27</v>
      </c>
      <c r="C74" s="3" t="s">
        <v>96</v>
      </c>
      <c r="D74" s="3" t="s">
        <v>97</v>
      </c>
      <c r="E74" s="30">
        <v>57.051916666666664</v>
      </c>
      <c r="F74" s="30">
        <v>-135.73086944444444</v>
      </c>
      <c r="G74" s="9" t="s">
        <v>30</v>
      </c>
      <c r="H74" s="3" t="s">
        <v>31</v>
      </c>
      <c r="I74" s="3" t="s">
        <v>31</v>
      </c>
      <c r="J74" s="3" t="s">
        <v>31</v>
      </c>
      <c r="K74" s="3" t="s">
        <v>98</v>
      </c>
      <c r="L74" s="9">
        <v>53</v>
      </c>
      <c r="M74" s="9">
        <v>53</v>
      </c>
      <c r="N74" s="9">
        <f t="shared" si="4"/>
        <v>0</v>
      </c>
      <c r="O74" s="9"/>
      <c r="P74" s="9"/>
      <c r="Q74" s="25"/>
      <c r="R74" s="11">
        <v>0</v>
      </c>
      <c r="S74" s="1">
        <v>1.74</v>
      </c>
      <c r="T74" s="1">
        <f t="shared" si="5"/>
        <v>1.74</v>
      </c>
      <c r="U74" s="12">
        <v>28.743197267006611</v>
      </c>
      <c r="V74" s="13">
        <v>5.38</v>
      </c>
      <c r="W74" s="14">
        <f t="shared" si="6"/>
        <v>0</v>
      </c>
      <c r="X74" s="25"/>
      <c r="Y74" s="14">
        <f t="shared" si="3"/>
        <v>0</v>
      </c>
      <c r="Z74" s="3"/>
      <c r="AA74" s="3"/>
      <c r="AB74" s="5"/>
      <c r="AC74" s="1"/>
      <c r="AD74" s="28"/>
      <c r="AE74" s="28"/>
      <c r="AF74" s="3"/>
      <c r="AG74" s="3"/>
      <c r="AH74" s="3"/>
      <c r="AI74" s="3" t="s">
        <v>59</v>
      </c>
      <c r="AJ74" s="3" t="s">
        <v>98</v>
      </c>
      <c r="AK74" s="3"/>
      <c r="AL74" cm="1">
        <f t="array" ref="AL74">IF(getColor(V74) = 16777215, 0, 1)</f>
        <v>0</v>
      </c>
    </row>
    <row r="75" spans="1:38">
      <c r="A75" s="1">
        <v>74</v>
      </c>
      <c r="B75" s="3" t="s">
        <v>27</v>
      </c>
      <c r="C75" s="3" t="s">
        <v>99</v>
      </c>
      <c r="D75" s="3" t="s">
        <v>100</v>
      </c>
      <c r="E75" s="30">
        <v>57.051986111111106</v>
      </c>
      <c r="F75" s="30">
        <v>-135.73390555555557</v>
      </c>
      <c r="G75" s="9" t="s">
        <v>30</v>
      </c>
      <c r="H75" s="3" t="s">
        <v>31</v>
      </c>
      <c r="I75" s="3" t="s">
        <v>31</v>
      </c>
      <c r="J75" s="3" t="s">
        <v>31</v>
      </c>
      <c r="K75" s="3" t="s">
        <v>53</v>
      </c>
      <c r="L75" s="9">
        <v>0</v>
      </c>
      <c r="M75" s="9">
        <v>6</v>
      </c>
      <c r="N75" s="9">
        <f t="shared" si="4"/>
        <v>6</v>
      </c>
      <c r="O75" s="10">
        <f>M80-P75</f>
        <v>52</v>
      </c>
      <c r="P75" s="10">
        <f>M75</f>
        <v>6</v>
      </c>
      <c r="Q75" s="10">
        <f>O75+P75</f>
        <v>58</v>
      </c>
      <c r="R75" s="11">
        <v>0</v>
      </c>
      <c r="S75" s="1">
        <v>0.11</v>
      </c>
      <c r="T75" s="1">
        <f t="shared" si="5"/>
        <v>0.11</v>
      </c>
      <c r="U75" s="12"/>
      <c r="V75" s="31">
        <v>37.79128262471886</v>
      </c>
      <c r="W75" s="14">
        <f t="shared" si="6"/>
        <v>2494.2246532314443</v>
      </c>
      <c r="X75" s="14">
        <f>SUM(W75:W80)</f>
        <v>39024.603873930733</v>
      </c>
      <c r="Y75" s="14">
        <f t="shared" si="3"/>
        <v>2494.2246532314443</v>
      </c>
      <c r="Z75" s="15">
        <f>SUM(Y75:Y80)/10^6*10^4</f>
        <v>390.24603873930732</v>
      </c>
      <c r="AA75" s="16">
        <v>59.400676013887583</v>
      </c>
      <c r="AB75" s="5"/>
      <c r="AC75" s="1"/>
      <c r="AD75" s="28"/>
      <c r="AE75" s="28"/>
      <c r="AF75" s="3"/>
      <c r="AG75" s="3"/>
      <c r="AH75" s="3"/>
      <c r="AI75" s="3" t="s">
        <v>59</v>
      </c>
      <c r="AJ75" s="3" t="s">
        <v>53</v>
      </c>
      <c r="AK75" s="3"/>
      <c r="AL75" cm="1">
        <f t="array" ref="AL75">IF(getColor(V75) = 16777215, 0, 1)</f>
        <v>1</v>
      </c>
    </row>
    <row r="76" spans="1:38">
      <c r="A76" s="1">
        <v>75</v>
      </c>
      <c r="B76" s="3" t="s">
        <v>27</v>
      </c>
      <c r="C76" s="3" t="s">
        <v>99</v>
      </c>
      <c r="D76" s="3" t="s">
        <v>100</v>
      </c>
      <c r="E76" s="30">
        <v>57.051986111111106</v>
      </c>
      <c r="F76" s="30">
        <v>-135.73390555555557</v>
      </c>
      <c r="G76" s="9" t="s">
        <v>30</v>
      </c>
      <c r="H76" s="3" t="s">
        <v>31</v>
      </c>
      <c r="I76" s="3" t="s">
        <v>31</v>
      </c>
      <c r="J76" s="3" t="s">
        <v>31</v>
      </c>
      <c r="K76" s="7" t="s">
        <v>51</v>
      </c>
      <c r="L76" s="9">
        <v>6</v>
      </c>
      <c r="M76" s="9">
        <v>11</v>
      </c>
      <c r="N76" s="9">
        <f t="shared" si="4"/>
        <v>5</v>
      </c>
      <c r="O76" s="9"/>
      <c r="P76" s="9"/>
      <c r="Q76" s="25"/>
      <c r="R76" s="11">
        <v>0</v>
      </c>
      <c r="S76" s="1">
        <v>0.12</v>
      </c>
      <c r="T76" s="1">
        <f t="shared" si="5"/>
        <v>0.12</v>
      </c>
      <c r="U76" s="12">
        <v>2.3195269227920696</v>
      </c>
      <c r="V76" s="13">
        <v>26.12</v>
      </c>
      <c r="W76" s="14">
        <f t="shared" si="6"/>
        <v>1530.8483740660024</v>
      </c>
      <c r="X76" s="25"/>
      <c r="Y76" s="14">
        <f t="shared" si="3"/>
        <v>1530.8483740660024</v>
      </c>
      <c r="Z76" s="3"/>
      <c r="AA76" s="3"/>
      <c r="AB76" s="5"/>
      <c r="AC76" s="5"/>
      <c r="AD76" s="32"/>
      <c r="AE76" s="32"/>
      <c r="AF76" s="3"/>
      <c r="AG76" s="3"/>
      <c r="AH76" s="3"/>
      <c r="AI76" s="3" t="s">
        <v>59</v>
      </c>
      <c r="AJ76" s="3" t="s">
        <v>87</v>
      </c>
      <c r="AK76" s="3"/>
      <c r="AL76" cm="1">
        <f t="array" ref="AL76">IF(getColor(V76) = 16777215, 0, 1)</f>
        <v>0</v>
      </c>
    </row>
    <row r="77" spans="1:38">
      <c r="A77" s="1">
        <v>76</v>
      </c>
      <c r="B77" s="3" t="s">
        <v>27</v>
      </c>
      <c r="C77" s="3" t="s">
        <v>99</v>
      </c>
      <c r="D77" s="3" t="s">
        <v>100</v>
      </c>
      <c r="E77" s="30">
        <v>57.051986111111106</v>
      </c>
      <c r="F77" s="30">
        <v>-135.73390555555557</v>
      </c>
      <c r="G77" s="9" t="s">
        <v>30</v>
      </c>
      <c r="H77" s="3" t="s">
        <v>31</v>
      </c>
      <c r="I77" s="3" t="s">
        <v>31</v>
      </c>
      <c r="J77" s="3" t="s">
        <v>31</v>
      </c>
      <c r="K77" s="3" t="s">
        <v>47</v>
      </c>
      <c r="L77" s="9">
        <v>11</v>
      </c>
      <c r="M77" s="9">
        <v>16</v>
      </c>
      <c r="N77" s="9">
        <f t="shared" si="4"/>
        <v>5</v>
      </c>
      <c r="O77" s="9"/>
      <c r="P77" s="9"/>
      <c r="Q77" s="25"/>
      <c r="R77" s="11">
        <v>0</v>
      </c>
      <c r="S77" s="1">
        <v>0.93</v>
      </c>
      <c r="T77" s="1">
        <f t="shared" si="5"/>
        <v>0.93</v>
      </c>
      <c r="U77" s="12">
        <v>9.7091275613632035</v>
      </c>
      <c r="V77" s="13">
        <v>7.87</v>
      </c>
      <c r="W77" s="14">
        <f t="shared" si="6"/>
        <v>3304.239622328133</v>
      </c>
      <c r="X77" s="25"/>
      <c r="Y77" s="14">
        <f t="shared" si="3"/>
        <v>3304.239622328133</v>
      </c>
      <c r="Z77" s="3"/>
      <c r="AA77" s="3"/>
      <c r="AB77" s="5"/>
      <c r="AC77" s="1"/>
      <c r="AD77" s="28"/>
      <c r="AE77" s="28"/>
      <c r="AF77" s="3"/>
      <c r="AG77" s="3"/>
      <c r="AH77" s="3"/>
      <c r="AI77" s="3" t="s">
        <v>59</v>
      </c>
      <c r="AJ77" s="3" t="s">
        <v>47</v>
      </c>
      <c r="AK77" s="3"/>
      <c r="AL77" cm="1">
        <f t="array" ref="AL77">IF(getColor(V77) = 16777215, 0, 1)</f>
        <v>0</v>
      </c>
    </row>
    <row r="78" spans="1:38">
      <c r="A78" s="1">
        <v>77</v>
      </c>
      <c r="B78" s="3" t="s">
        <v>27</v>
      </c>
      <c r="C78" s="3" t="s">
        <v>99</v>
      </c>
      <c r="D78" s="3" t="s">
        <v>100</v>
      </c>
      <c r="E78" s="30">
        <v>57.051986111111106</v>
      </c>
      <c r="F78" s="30">
        <v>-135.73390555555557</v>
      </c>
      <c r="G78" s="9" t="s">
        <v>30</v>
      </c>
      <c r="H78" s="3" t="s">
        <v>31</v>
      </c>
      <c r="I78" s="3" t="s">
        <v>31</v>
      </c>
      <c r="J78" s="3" t="s">
        <v>31</v>
      </c>
      <c r="K78" s="3" t="s">
        <v>101</v>
      </c>
      <c r="L78" s="9">
        <v>16</v>
      </c>
      <c r="M78" s="9">
        <v>38</v>
      </c>
      <c r="N78" s="9">
        <f t="shared" si="4"/>
        <v>22</v>
      </c>
      <c r="O78" s="9"/>
      <c r="P78" s="9"/>
      <c r="Q78" s="25"/>
      <c r="R78" s="11">
        <v>0</v>
      </c>
      <c r="S78" s="1">
        <v>0.86</v>
      </c>
      <c r="T78" s="1">
        <f t="shared" si="5"/>
        <v>0.86</v>
      </c>
      <c r="U78" s="12">
        <v>8.1212142592430059</v>
      </c>
      <c r="V78" s="13">
        <v>11.5</v>
      </c>
      <c r="W78" s="14">
        <f t="shared" si="6"/>
        <v>19990.986201473908</v>
      </c>
      <c r="X78" s="25"/>
      <c r="Y78" s="14">
        <f t="shared" si="3"/>
        <v>19990.986201473908</v>
      </c>
      <c r="Z78" s="3"/>
      <c r="AA78" s="3"/>
      <c r="AB78" s="5"/>
      <c r="AC78" s="1"/>
      <c r="AD78" s="28"/>
      <c r="AE78" s="28"/>
      <c r="AF78" s="3"/>
      <c r="AG78" s="3"/>
      <c r="AH78" s="3"/>
      <c r="AI78" s="3" t="s">
        <v>59</v>
      </c>
      <c r="AJ78" s="3" t="s">
        <v>102</v>
      </c>
      <c r="AK78" s="3"/>
      <c r="AL78" cm="1">
        <f t="array" ref="AL78">IF(getColor(V78) = 16777215, 0, 1)</f>
        <v>0</v>
      </c>
    </row>
    <row r="79" spans="1:38">
      <c r="A79" s="1">
        <v>78</v>
      </c>
      <c r="B79" s="3" t="s">
        <v>27</v>
      </c>
      <c r="C79" s="3" t="s">
        <v>99</v>
      </c>
      <c r="D79" s="3" t="s">
        <v>100</v>
      </c>
      <c r="E79" s="30">
        <v>57.051986111111106</v>
      </c>
      <c r="F79" s="30">
        <v>-135.73390555555557</v>
      </c>
      <c r="G79" s="9" t="s">
        <v>30</v>
      </c>
      <c r="H79" s="3" t="s">
        <v>31</v>
      </c>
      <c r="I79" s="3" t="s">
        <v>31</v>
      </c>
      <c r="J79" s="3" t="s">
        <v>31</v>
      </c>
      <c r="K79" s="3" t="s">
        <v>103</v>
      </c>
      <c r="L79" s="9">
        <v>38</v>
      </c>
      <c r="M79" s="9">
        <v>58</v>
      </c>
      <c r="N79" s="9">
        <f t="shared" si="4"/>
        <v>20</v>
      </c>
      <c r="O79" s="9"/>
      <c r="P79" s="9"/>
      <c r="Q79" s="25"/>
      <c r="R79" s="11">
        <v>0</v>
      </c>
      <c r="S79" s="1">
        <v>0.86</v>
      </c>
      <c r="T79" s="1">
        <f t="shared" si="5"/>
        <v>0.86</v>
      </c>
      <c r="U79" s="12">
        <v>11.279941308395385</v>
      </c>
      <c r="V79" s="13">
        <v>7.67</v>
      </c>
      <c r="W79" s="14">
        <f t="shared" si="6"/>
        <v>11704.305022831246</v>
      </c>
      <c r="X79" s="25"/>
      <c r="Y79" s="14">
        <f t="shared" si="3"/>
        <v>11704.305022831246</v>
      </c>
      <c r="Z79" s="3"/>
      <c r="AA79" s="3"/>
      <c r="AB79" s="5"/>
      <c r="AC79" s="1"/>
      <c r="AD79" s="28"/>
      <c r="AE79" s="28"/>
      <c r="AF79" s="3"/>
      <c r="AG79" s="3"/>
      <c r="AH79" s="3"/>
      <c r="AI79" s="3" t="s">
        <v>59</v>
      </c>
      <c r="AJ79" s="3" t="s">
        <v>104</v>
      </c>
      <c r="AK79" s="3"/>
      <c r="AL79" cm="1">
        <f t="array" ref="AL79">IF(getColor(V79) = 16777215, 0, 1)</f>
        <v>0</v>
      </c>
    </row>
    <row r="80" spans="1:38">
      <c r="A80" s="1">
        <v>79</v>
      </c>
      <c r="B80" s="3" t="s">
        <v>27</v>
      </c>
      <c r="C80" s="3" t="s">
        <v>99</v>
      </c>
      <c r="D80" s="3" t="s">
        <v>100</v>
      </c>
      <c r="E80" s="30">
        <v>57.051986111111106</v>
      </c>
      <c r="F80" s="30">
        <v>-135.73390555555557</v>
      </c>
      <c r="G80" s="9" t="s">
        <v>30</v>
      </c>
      <c r="H80" s="3" t="s">
        <v>31</v>
      </c>
      <c r="I80" s="3" t="s">
        <v>31</v>
      </c>
      <c r="J80" s="3" t="s">
        <v>31</v>
      </c>
      <c r="K80" s="3" t="s">
        <v>44</v>
      </c>
      <c r="L80" s="9">
        <v>58</v>
      </c>
      <c r="M80" s="9">
        <v>58</v>
      </c>
      <c r="N80" s="9">
        <f t="shared" si="4"/>
        <v>0</v>
      </c>
      <c r="O80" s="9"/>
      <c r="P80" s="9"/>
      <c r="Q80" s="25"/>
      <c r="R80" s="11">
        <v>0</v>
      </c>
      <c r="S80" s="1">
        <v>1.74</v>
      </c>
      <c r="T80" s="1">
        <f t="shared" si="5"/>
        <v>1.74</v>
      </c>
      <c r="U80" s="12">
        <v>47.591273511210389</v>
      </c>
      <c r="V80" s="13">
        <v>6.77</v>
      </c>
      <c r="W80" s="14">
        <f t="shared" si="6"/>
        <v>0</v>
      </c>
      <c r="X80" s="25"/>
      <c r="Y80" s="14">
        <f t="shared" ref="Y80:Y89" si="7">T80*V80/100*N80*100*100*((100-U80)/100)</f>
        <v>0</v>
      </c>
      <c r="Z80" s="3"/>
      <c r="AA80" s="3"/>
      <c r="AB80" s="5"/>
      <c r="AC80" s="1"/>
      <c r="AD80" s="28"/>
      <c r="AE80" s="28"/>
      <c r="AF80" s="3"/>
      <c r="AG80" s="3"/>
      <c r="AH80" s="3"/>
      <c r="AI80" s="3" t="s">
        <v>59</v>
      </c>
      <c r="AJ80" s="3" t="s">
        <v>44</v>
      </c>
      <c r="AK80" s="3"/>
      <c r="AL80" cm="1">
        <f t="array" ref="AL80">IF(getColor(V80) = 16777215, 0, 1)</f>
        <v>0</v>
      </c>
    </row>
    <row r="81" spans="1:38">
      <c r="A81" s="1">
        <v>80</v>
      </c>
      <c r="B81" s="3" t="s">
        <v>27</v>
      </c>
      <c r="C81" s="7" t="s">
        <v>105</v>
      </c>
      <c r="D81" s="7" t="s">
        <v>106</v>
      </c>
      <c r="E81" s="8">
        <v>57</v>
      </c>
      <c r="F81" s="8">
        <v>-135</v>
      </c>
      <c r="G81" s="9" t="s">
        <v>30</v>
      </c>
      <c r="H81" s="3" t="s">
        <v>31</v>
      </c>
      <c r="I81" s="3" t="s">
        <v>31</v>
      </c>
      <c r="J81" s="3" t="s">
        <v>31</v>
      </c>
      <c r="K81" s="7" t="s">
        <v>49</v>
      </c>
      <c r="L81" s="9">
        <v>0</v>
      </c>
      <c r="M81" s="9">
        <v>3</v>
      </c>
      <c r="N81" s="9">
        <f t="shared" si="4"/>
        <v>3</v>
      </c>
      <c r="O81" s="10">
        <f>M90-P81</f>
        <v>113</v>
      </c>
      <c r="P81" s="10">
        <f>M82</f>
        <v>7</v>
      </c>
      <c r="Q81" s="10">
        <f>O81+P81</f>
        <v>120</v>
      </c>
      <c r="R81" s="11">
        <v>0</v>
      </c>
      <c r="S81" s="1">
        <v>0.08</v>
      </c>
      <c r="T81" s="1">
        <f t="shared" si="5"/>
        <v>0.08</v>
      </c>
      <c r="U81" s="12">
        <v>0</v>
      </c>
      <c r="V81" s="13">
        <v>30.956288999999998</v>
      </c>
      <c r="W81" s="14">
        <f t="shared" si="6"/>
        <v>742.95093599999996</v>
      </c>
      <c r="X81" s="14">
        <f>SUM(W81:W90)</f>
        <v>43278.337630779999</v>
      </c>
      <c r="Y81" s="14">
        <f t="shared" si="7"/>
        <v>742.95093599999996</v>
      </c>
      <c r="Z81" s="15">
        <f>SUM(Y81:Y90)/10^6*10^4</f>
        <v>402.05401826379995</v>
      </c>
      <c r="AA81" s="16">
        <v>32.00480559798995</v>
      </c>
      <c r="AB81" s="5"/>
      <c r="AC81" s="1"/>
      <c r="AD81" s="28"/>
      <c r="AE81" s="28"/>
      <c r="AF81" s="3"/>
      <c r="AG81" s="7"/>
      <c r="AH81" s="7"/>
      <c r="AI81" s="3" t="s">
        <v>107</v>
      </c>
      <c r="AJ81" s="7" t="s">
        <v>60</v>
      </c>
      <c r="AK81" s="3"/>
      <c r="AL81" cm="1">
        <f t="array" ref="AL81">IF(getColor(V81) = 16777215, 0, 1)</f>
        <v>0</v>
      </c>
    </row>
    <row r="82" spans="1:38">
      <c r="A82" s="1">
        <v>81</v>
      </c>
      <c r="B82" s="3" t="s">
        <v>27</v>
      </c>
      <c r="C82" s="7" t="s">
        <v>105</v>
      </c>
      <c r="D82" s="7" t="s">
        <v>106</v>
      </c>
      <c r="E82" s="8">
        <v>57</v>
      </c>
      <c r="F82" s="8">
        <v>-135</v>
      </c>
      <c r="G82" s="9" t="s">
        <v>30</v>
      </c>
      <c r="H82" s="3" t="s">
        <v>31</v>
      </c>
      <c r="I82" s="3" t="s">
        <v>31</v>
      </c>
      <c r="J82" s="3" t="s">
        <v>31</v>
      </c>
      <c r="K82" s="7" t="s">
        <v>51</v>
      </c>
      <c r="L82" s="9">
        <v>3</v>
      </c>
      <c r="M82" s="9">
        <v>7</v>
      </c>
      <c r="N82" s="9">
        <f t="shared" si="4"/>
        <v>4</v>
      </c>
      <c r="O82" s="9"/>
      <c r="P82" s="9"/>
      <c r="Q82" s="25"/>
      <c r="R82" s="11">
        <v>0</v>
      </c>
      <c r="S82" s="1">
        <v>0.12</v>
      </c>
      <c r="T82" s="1">
        <f t="shared" si="5"/>
        <v>0.12</v>
      </c>
      <c r="U82" s="12">
        <v>0</v>
      </c>
      <c r="V82" s="13">
        <v>23.738883000000001</v>
      </c>
      <c r="W82" s="14">
        <f t="shared" si="6"/>
        <v>1139.4663840000001</v>
      </c>
      <c r="X82" s="25"/>
      <c r="Y82" s="14">
        <f t="shared" si="7"/>
        <v>1139.4663840000001</v>
      </c>
      <c r="Z82" s="3"/>
      <c r="AA82" s="3"/>
      <c r="AB82" s="5"/>
      <c r="AC82" s="5"/>
      <c r="AD82" s="28"/>
      <c r="AE82" s="28"/>
      <c r="AF82" s="3"/>
      <c r="AG82" s="7"/>
      <c r="AH82" s="7"/>
      <c r="AI82" s="3" t="s">
        <v>107</v>
      </c>
      <c r="AJ82" s="7" t="s">
        <v>67</v>
      </c>
      <c r="AK82" s="3"/>
      <c r="AL82" cm="1">
        <f t="array" ref="AL82">IF(getColor(V82) = 16777215, 0, 1)</f>
        <v>0</v>
      </c>
    </row>
    <row r="83" spans="1:38">
      <c r="A83" s="1">
        <v>82</v>
      </c>
      <c r="B83" s="3" t="s">
        <v>27</v>
      </c>
      <c r="C83" s="7" t="s">
        <v>105</v>
      </c>
      <c r="D83" s="7" t="s">
        <v>106</v>
      </c>
      <c r="E83" s="8">
        <v>57</v>
      </c>
      <c r="F83" s="8">
        <v>-135</v>
      </c>
      <c r="G83" s="9" t="s">
        <v>30</v>
      </c>
      <c r="H83" s="3" t="s">
        <v>31</v>
      </c>
      <c r="I83" s="3" t="s">
        <v>31</v>
      </c>
      <c r="J83" s="3" t="s">
        <v>31</v>
      </c>
      <c r="K83" s="7" t="s">
        <v>68</v>
      </c>
      <c r="L83" s="9">
        <v>7</v>
      </c>
      <c r="M83" s="9">
        <v>14</v>
      </c>
      <c r="N83" s="9">
        <f t="shared" si="4"/>
        <v>7</v>
      </c>
      <c r="O83" s="9"/>
      <c r="P83" s="9"/>
      <c r="Q83" s="25"/>
      <c r="R83" s="17">
        <v>0</v>
      </c>
      <c r="S83" s="1">
        <v>0.86</v>
      </c>
      <c r="T83" s="1">
        <f t="shared" si="5"/>
        <v>0.86</v>
      </c>
      <c r="U83" s="12">
        <v>0</v>
      </c>
      <c r="V83" s="13">
        <v>18.469031000000001</v>
      </c>
      <c r="W83" s="14">
        <f t="shared" si="6"/>
        <v>11118.356662</v>
      </c>
      <c r="X83" s="25"/>
      <c r="Y83" s="14">
        <f t="shared" si="7"/>
        <v>11118.356662</v>
      </c>
      <c r="Z83" s="3"/>
      <c r="AA83" s="3"/>
      <c r="AB83" s="5"/>
      <c r="AC83" s="1"/>
      <c r="AD83" s="28"/>
      <c r="AE83" s="28"/>
      <c r="AF83" s="3"/>
      <c r="AG83" s="7"/>
      <c r="AH83" s="7"/>
      <c r="AI83" s="3" t="s">
        <v>107</v>
      </c>
      <c r="AJ83" s="7" t="s">
        <v>68</v>
      </c>
      <c r="AK83" s="3"/>
      <c r="AL83" cm="1">
        <f t="array" ref="AL83">IF(getColor(V83) = 16777215, 0, 1)</f>
        <v>0</v>
      </c>
    </row>
    <row r="84" spans="1:38">
      <c r="A84" s="1">
        <v>83</v>
      </c>
      <c r="B84" s="3" t="s">
        <v>27</v>
      </c>
      <c r="C84" s="7" t="s">
        <v>105</v>
      </c>
      <c r="D84" s="7" t="s">
        <v>106</v>
      </c>
      <c r="E84" s="8">
        <v>57</v>
      </c>
      <c r="F84" s="8">
        <v>-135</v>
      </c>
      <c r="G84" s="9" t="s">
        <v>30</v>
      </c>
      <c r="H84" s="3" t="s">
        <v>31</v>
      </c>
      <c r="I84" s="3" t="s">
        <v>31</v>
      </c>
      <c r="J84" s="3" t="s">
        <v>31</v>
      </c>
      <c r="K84" s="7" t="s">
        <v>77</v>
      </c>
      <c r="L84" s="9">
        <v>14</v>
      </c>
      <c r="M84" s="9">
        <v>23</v>
      </c>
      <c r="N84" s="9">
        <f t="shared" si="4"/>
        <v>9</v>
      </c>
      <c r="O84" s="9"/>
      <c r="P84" s="9"/>
      <c r="Q84" s="25"/>
      <c r="R84" s="17">
        <v>0</v>
      </c>
      <c r="S84" s="1">
        <v>0.86</v>
      </c>
      <c r="T84" s="1">
        <f t="shared" si="5"/>
        <v>0.86</v>
      </c>
      <c r="U84" s="12">
        <v>1</v>
      </c>
      <c r="V84" s="13">
        <v>10.015992000000001</v>
      </c>
      <c r="W84" s="14">
        <f t="shared" si="6"/>
        <v>7674.8540299200004</v>
      </c>
      <c r="X84" s="25"/>
      <c r="Y84" s="14">
        <f t="shared" si="7"/>
        <v>7674.8540299200004</v>
      </c>
      <c r="Z84" s="3"/>
      <c r="AA84" s="3"/>
      <c r="AB84" s="5"/>
      <c r="AC84" s="1"/>
      <c r="AD84" s="28"/>
      <c r="AE84" s="28"/>
      <c r="AF84" s="3"/>
      <c r="AG84" s="7"/>
      <c r="AH84" s="7"/>
      <c r="AI84" s="3" t="s">
        <v>107</v>
      </c>
      <c r="AJ84" s="7" t="s">
        <v>78</v>
      </c>
      <c r="AK84" s="3"/>
      <c r="AL84" cm="1">
        <f t="array" ref="AL84">IF(getColor(V84) = 16777215, 0, 1)</f>
        <v>0</v>
      </c>
    </row>
    <row r="85" spans="1:38">
      <c r="A85" s="1">
        <v>84</v>
      </c>
      <c r="B85" s="3" t="s">
        <v>27</v>
      </c>
      <c r="C85" s="7" t="s">
        <v>105</v>
      </c>
      <c r="D85" s="7" t="s">
        <v>106</v>
      </c>
      <c r="E85" s="8">
        <v>57</v>
      </c>
      <c r="F85" s="8">
        <v>-135</v>
      </c>
      <c r="G85" s="9" t="s">
        <v>30</v>
      </c>
      <c r="H85" s="3" t="s">
        <v>31</v>
      </c>
      <c r="I85" s="3" t="s">
        <v>31</v>
      </c>
      <c r="J85" s="3" t="s">
        <v>31</v>
      </c>
      <c r="K85" s="7" t="s">
        <v>69</v>
      </c>
      <c r="L85" s="9">
        <v>23</v>
      </c>
      <c r="M85" s="9">
        <v>36</v>
      </c>
      <c r="N85" s="9">
        <f t="shared" si="4"/>
        <v>13</v>
      </c>
      <c r="O85" s="9"/>
      <c r="P85" s="9"/>
      <c r="Q85" s="25"/>
      <c r="R85" s="11">
        <v>0.87</v>
      </c>
      <c r="S85" s="1">
        <v>1.17</v>
      </c>
      <c r="T85" s="1">
        <f t="shared" si="5"/>
        <v>0.87</v>
      </c>
      <c r="U85" s="12">
        <v>0</v>
      </c>
      <c r="V85" s="13">
        <v>4.6152119999999996</v>
      </c>
      <c r="W85" s="14">
        <f t="shared" si="6"/>
        <v>5219.8047719999995</v>
      </c>
      <c r="X85" s="25"/>
      <c r="Y85" s="14">
        <f t="shared" si="7"/>
        <v>5219.8047719999995</v>
      </c>
      <c r="Z85" s="3"/>
      <c r="AA85" s="3"/>
      <c r="AB85" s="5"/>
      <c r="AC85" s="1"/>
      <c r="AD85" s="28"/>
      <c r="AE85" s="28"/>
      <c r="AF85" s="3"/>
      <c r="AG85" s="7"/>
      <c r="AH85" s="7"/>
      <c r="AI85" s="3" t="s">
        <v>107</v>
      </c>
      <c r="AJ85" s="7" t="s">
        <v>70</v>
      </c>
      <c r="AK85" s="3"/>
      <c r="AL85" cm="1">
        <f t="array" ref="AL85">IF(getColor(V85) = 16777215, 0, 1)</f>
        <v>0</v>
      </c>
    </row>
    <row r="86" spans="1:38">
      <c r="A86" s="1">
        <v>85</v>
      </c>
      <c r="B86" s="3" t="s">
        <v>27</v>
      </c>
      <c r="C86" s="7" t="s">
        <v>105</v>
      </c>
      <c r="D86" s="7" t="s">
        <v>106</v>
      </c>
      <c r="E86" s="8">
        <v>57</v>
      </c>
      <c r="F86" s="8">
        <v>-135</v>
      </c>
      <c r="G86" s="9" t="s">
        <v>30</v>
      </c>
      <c r="H86" s="3" t="s">
        <v>31</v>
      </c>
      <c r="I86" s="3" t="s">
        <v>31</v>
      </c>
      <c r="J86" s="3" t="s">
        <v>31</v>
      </c>
      <c r="K86" s="7" t="s">
        <v>71</v>
      </c>
      <c r="L86" s="9">
        <v>36</v>
      </c>
      <c r="M86" s="9">
        <v>60</v>
      </c>
      <c r="N86" s="9">
        <f t="shared" si="4"/>
        <v>24</v>
      </c>
      <c r="O86" s="9"/>
      <c r="P86" s="9"/>
      <c r="Q86" s="25"/>
      <c r="R86" s="11">
        <v>0.99</v>
      </c>
      <c r="S86" s="1">
        <v>1.17</v>
      </c>
      <c r="T86" s="1">
        <f t="shared" si="5"/>
        <v>0.99</v>
      </c>
      <c r="U86" s="12">
        <v>1</v>
      </c>
      <c r="V86" s="13">
        <v>3.3386640000000001</v>
      </c>
      <c r="W86" s="14">
        <f t="shared" si="6"/>
        <v>7853.3390073600012</v>
      </c>
      <c r="X86" s="25"/>
      <c r="Y86" s="14">
        <f t="shared" si="7"/>
        <v>7853.3390073600012</v>
      </c>
      <c r="Z86" s="3"/>
      <c r="AA86" s="3"/>
      <c r="AB86" s="5"/>
      <c r="AC86" s="1"/>
      <c r="AD86" s="28"/>
      <c r="AE86" s="28"/>
      <c r="AF86" s="3"/>
      <c r="AG86" s="7"/>
      <c r="AH86" s="7"/>
      <c r="AI86" s="3" t="s">
        <v>107</v>
      </c>
      <c r="AJ86" s="7" t="s">
        <v>72</v>
      </c>
      <c r="AK86" s="3"/>
      <c r="AL86" cm="1">
        <f t="array" ref="AL86">IF(getColor(V86) = 16777215, 0, 1)</f>
        <v>0</v>
      </c>
    </row>
    <row r="87" spans="1:38">
      <c r="A87" s="1">
        <v>86</v>
      </c>
      <c r="B87" s="3" t="s">
        <v>27</v>
      </c>
      <c r="C87" s="7" t="s">
        <v>105</v>
      </c>
      <c r="D87" s="7" t="s">
        <v>106</v>
      </c>
      <c r="E87" s="8">
        <v>57</v>
      </c>
      <c r="F87" s="8">
        <v>-135</v>
      </c>
      <c r="G87" s="9" t="s">
        <v>30</v>
      </c>
      <c r="H87" s="3" t="s">
        <v>31</v>
      </c>
      <c r="I87" s="3" t="s">
        <v>31</v>
      </c>
      <c r="J87" s="3" t="s">
        <v>31</v>
      </c>
      <c r="K87" s="7" t="s">
        <v>108</v>
      </c>
      <c r="L87" s="9">
        <v>60</v>
      </c>
      <c r="M87" s="9">
        <v>80</v>
      </c>
      <c r="N87" s="9">
        <f t="shared" si="4"/>
        <v>20</v>
      </c>
      <c r="O87" s="9"/>
      <c r="P87" s="9"/>
      <c r="Q87" s="25"/>
      <c r="R87" s="11">
        <v>0.84</v>
      </c>
      <c r="S87" s="1">
        <v>1.71</v>
      </c>
      <c r="T87" s="1">
        <f t="shared" si="5"/>
        <v>0.84</v>
      </c>
      <c r="U87" s="12">
        <v>3</v>
      </c>
      <c r="V87" s="13">
        <v>1.1128880000000001</v>
      </c>
      <c r="W87" s="14">
        <f t="shared" si="6"/>
        <v>1813.5622848000003</v>
      </c>
      <c r="X87" s="25"/>
      <c r="Y87" s="14">
        <f t="shared" si="7"/>
        <v>1813.5622848000003</v>
      </c>
      <c r="Z87" s="3"/>
      <c r="AA87" s="3"/>
      <c r="AB87" s="5"/>
      <c r="AC87" s="1"/>
      <c r="AD87" s="28"/>
      <c r="AE87" s="28"/>
      <c r="AF87" s="3"/>
      <c r="AG87" s="7"/>
      <c r="AH87" s="7"/>
      <c r="AI87" s="3" t="s">
        <v>107</v>
      </c>
      <c r="AJ87" s="7" t="s">
        <v>108</v>
      </c>
      <c r="AK87" s="3"/>
      <c r="AL87" cm="1">
        <f t="array" ref="AL87">IF(getColor(V87) = 16777215, 0, 1)</f>
        <v>0</v>
      </c>
    </row>
    <row r="88" spans="1:38">
      <c r="A88" s="1">
        <v>87</v>
      </c>
      <c r="B88" s="3" t="s">
        <v>27</v>
      </c>
      <c r="C88" s="7" t="s">
        <v>105</v>
      </c>
      <c r="D88" s="7" t="s">
        <v>106</v>
      </c>
      <c r="E88" s="8">
        <v>57</v>
      </c>
      <c r="F88" s="8">
        <v>-135</v>
      </c>
      <c r="G88" s="9" t="s">
        <v>30</v>
      </c>
      <c r="H88" s="3" t="s">
        <v>31</v>
      </c>
      <c r="I88" s="3" t="s">
        <v>31</v>
      </c>
      <c r="J88" s="3" t="s">
        <v>31</v>
      </c>
      <c r="K88" s="7" t="s">
        <v>109</v>
      </c>
      <c r="L88" s="9">
        <v>80</v>
      </c>
      <c r="M88" s="9">
        <v>94</v>
      </c>
      <c r="N88" s="9">
        <f t="shared" si="4"/>
        <v>14</v>
      </c>
      <c r="O88" s="9"/>
      <c r="P88" s="9"/>
      <c r="Q88" s="25"/>
      <c r="R88" s="11">
        <v>0</v>
      </c>
      <c r="S88" s="1">
        <v>1.71</v>
      </c>
      <c r="T88" s="1">
        <f t="shared" si="5"/>
        <v>1.71</v>
      </c>
      <c r="U88" s="12">
        <v>30</v>
      </c>
      <c r="V88" s="13">
        <v>1.9230050000000001</v>
      </c>
      <c r="W88" s="14">
        <f t="shared" si="6"/>
        <v>3222.5717789999999</v>
      </c>
      <c r="X88" s="25"/>
      <c r="Y88" s="14">
        <f t="shared" si="7"/>
        <v>3222.5717789999999</v>
      </c>
      <c r="Z88" s="3"/>
      <c r="AA88" s="3"/>
      <c r="AB88" s="5"/>
      <c r="AC88" s="1"/>
      <c r="AD88" s="28"/>
      <c r="AE88" s="28"/>
      <c r="AF88" s="3"/>
      <c r="AG88" s="7"/>
      <c r="AH88" s="7"/>
      <c r="AI88" s="3" t="s">
        <v>107</v>
      </c>
      <c r="AJ88" s="7" t="s">
        <v>109</v>
      </c>
      <c r="AK88" s="3"/>
      <c r="AL88" cm="1">
        <f t="array" ref="AL88">IF(getColor(V88) = 16777215, 0, 1)</f>
        <v>0</v>
      </c>
    </row>
    <row r="89" spans="1:38">
      <c r="A89" s="1">
        <v>88</v>
      </c>
      <c r="B89" s="3" t="s">
        <v>27</v>
      </c>
      <c r="C89" s="7" t="s">
        <v>105</v>
      </c>
      <c r="D89" s="7" t="s">
        <v>106</v>
      </c>
      <c r="E89" s="8">
        <v>57</v>
      </c>
      <c r="F89" s="8">
        <v>-135</v>
      </c>
      <c r="G89" s="9" t="s">
        <v>30</v>
      </c>
      <c r="H89" s="3" t="s">
        <v>31</v>
      </c>
      <c r="I89" s="3" t="s">
        <v>31</v>
      </c>
      <c r="J89" s="3" t="s">
        <v>31</v>
      </c>
      <c r="K89" s="7" t="s">
        <v>110</v>
      </c>
      <c r="L89" s="9">
        <v>94</v>
      </c>
      <c r="M89" s="9">
        <v>97</v>
      </c>
      <c r="N89" s="9">
        <f t="shared" si="4"/>
        <v>3</v>
      </c>
      <c r="O89" s="9"/>
      <c r="P89" s="9"/>
      <c r="Q89" s="25"/>
      <c r="R89" s="11">
        <v>0</v>
      </c>
      <c r="S89" s="1">
        <v>1.17</v>
      </c>
      <c r="T89" s="1">
        <f t="shared" si="5"/>
        <v>1.17</v>
      </c>
      <c r="U89" s="12">
        <v>13</v>
      </c>
      <c r="V89" s="13">
        <v>3.1422720000000002</v>
      </c>
      <c r="W89" s="14">
        <f t="shared" si="6"/>
        <v>959.55560064000008</v>
      </c>
      <c r="X89" s="25"/>
      <c r="Y89" s="14">
        <f t="shared" si="7"/>
        <v>959.55560064000008</v>
      </c>
      <c r="Z89" s="3"/>
      <c r="AA89" s="3"/>
      <c r="AB89" s="5"/>
      <c r="AC89" s="1"/>
      <c r="AD89" s="28"/>
      <c r="AE89" s="28"/>
      <c r="AF89" s="3"/>
      <c r="AG89" s="7"/>
      <c r="AH89" s="7"/>
      <c r="AI89" s="3" t="s">
        <v>107</v>
      </c>
      <c r="AJ89" s="7" t="s">
        <v>111</v>
      </c>
      <c r="AK89" s="3"/>
      <c r="AL89" cm="1">
        <f t="array" ref="AL89">IF(getColor(V89) = 16777215, 0, 1)</f>
        <v>0</v>
      </c>
    </row>
    <row r="90" spans="1:38">
      <c r="A90" s="1">
        <v>89</v>
      </c>
      <c r="B90" s="3" t="s">
        <v>27</v>
      </c>
      <c r="C90" s="7" t="s">
        <v>105</v>
      </c>
      <c r="D90" s="7" t="s">
        <v>106</v>
      </c>
      <c r="E90" s="8">
        <v>57</v>
      </c>
      <c r="F90" s="8">
        <v>-135</v>
      </c>
      <c r="G90" s="9" t="s">
        <v>30</v>
      </c>
      <c r="H90" s="3" t="s">
        <v>31</v>
      </c>
      <c r="I90" s="3" t="s">
        <v>31</v>
      </c>
      <c r="J90" s="3" t="s">
        <v>31</v>
      </c>
      <c r="K90" s="7" t="s">
        <v>44</v>
      </c>
      <c r="L90" s="9">
        <v>97</v>
      </c>
      <c r="M90" s="9">
        <v>120</v>
      </c>
      <c r="N90" s="9">
        <f t="shared" si="4"/>
        <v>23</v>
      </c>
      <c r="O90" s="9"/>
      <c r="P90" s="9"/>
      <c r="Q90" s="25"/>
      <c r="R90" s="11">
        <v>0</v>
      </c>
      <c r="S90" s="1">
        <v>1.74</v>
      </c>
      <c r="T90" s="1">
        <f t="shared" si="5"/>
        <v>1.74</v>
      </c>
      <c r="U90" s="12">
        <v>1</v>
      </c>
      <c r="V90" s="13">
        <v>0.89194700000000005</v>
      </c>
      <c r="W90" s="14">
        <f t="shared" si="6"/>
        <v>3533.8761750600006</v>
      </c>
      <c r="X90" s="25"/>
      <c r="Y90" s="14">
        <f>IF(L90&gt;-100,W90-W90*(ABS(M90)-100)/(ABS(M90)-ABS(L90)),0)</f>
        <v>460.94037065999964</v>
      </c>
      <c r="Z90" s="3"/>
      <c r="AA90" s="3"/>
      <c r="AB90" s="5"/>
      <c r="AC90" s="1"/>
      <c r="AD90" s="28"/>
      <c r="AE90" s="28"/>
      <c r="AF90" s="3"/>
      <c r="AG90" s="7"/>
      <c r="AH90" s="7"/>
      <c r="AI90" s="3" t="s">
        <v>107</v>
      </c>
      <c r="AJ90" s="7" t="s">
        <v>44</v>
      </c>
      <c r="AK90" s="3"/>
      <c r="AL90" cm="1">
        <f t="array" ref="AL90">IF(getColor(V90) = 16777215, 0, 1)</f>
        <v>0</v>
      </c>
    </row>
    <row r="91" spans="1:38">
      <c r="A91" s="1">
        <v>90</v>
      </c>
      <c r="B91" s="3" t="s">
        <v>27</v>
      </c>
      <c r="C91" s="7" t="s">
        <v>112</v>
      </c>
      <c r="D91" s="7" t="s">
        <v>113</v>
      </c>
      <c r="E91" s="8">
        <v>57.05</v>
      </c>
      <c r="F91" s="8">
        <v>-135.30000000000001</v>
      </c>
      <c r="G91" s="9" t="s">
        <v>30</v>
      </c>
      <c r="H91" s="3" t="s">
        <v>31</v>
      </c>
      <c r="I91" s="3" t="s">
        <v>31</v>
      </c>
      <c r="J91" s="3" t="s">
        <v>31</v>
      </c>
      <c r="K91" s="7" t="s">
        <v>49</v>
      </c>
      <c r="L91" s="9">
        <v>0</v>
      </c>
      <c r="M91" s="9">
        <v>14</v>
      </c>
      <c r="N91" s="9">
        <f t="shared" si="4"/>
        <v>14</v>
      </c>
      <c r="O91" s="10">
        <f>M101-P91</f>
        <v>119</v>
      </c>
      <c r="P91" s="10">
        <f>M92</f>
        <v>26</v>
      </c>
      <c r="Q91" s="10">
        <f>O91+P91</f>
        <v>145</v>
      </c>
      <c r="R91" s="11">
        <v>0</v>
      </c>
      <c r="S91" s="1">
        <v>0.08</v>
      </c>
      <c r="T91" s="1">
        <f t="shared" si="5"/>
        <v>0.08</v>
      </c>
      <c r="U91" s="12">
        <v>0</v>
      </c>
      <c r="V91" s="13">
        <v>52.243205000000003</v>
      </c>
      <c r="W91" s="14">
        <f t="shared" si="6"/>
        <v>5851.2389600000006</v>
      </c>
      <c r="X91" s="14">
        <f>SUM(W91:W101)</f>
        <v>50479.631099850005</v>
      </c>
      <c r="Y91" s="14">
        <f t="shared" ref="Y91:Y99" si="8">T91*V91/100*N91*100*100*((100-U91)/100)</f>
        <v>5851.2389600000006</v>
      </c>
      <c r="Z91" s="15">
        <f>SUM(Y91:Y101)/10^6*10^4</f>
        <v>464.4795509535</v>
      </c>
      <c r="AA91" s="16">
        <v>100.92729317377409</v>
      </c>
      <c r="AB91" s="5"/>
      <c r="AC91" s="1"/>
      <c r="AD91" s="28"/>
      <c r="AE91" s="28"/>
      <c r="AF91" s="3"/>
      <c r="AG91" s="7"/>
      <c r="AH91" s="7"/>
      <c r="AI91" s="3" t="s">
        <v>59</v>
      </c>
      <c r="AJ91" s="7" t="s">
        <v>60</v>
      </c>
      <c r="AK91" s="3"/>
      <c r="AL91" cm="1">
        <f t="array" ref="AL91">IF(getColor(V91) = 16777215, 0, 1)</f>
        <v>0</v>
      </c>
    </row>
    <row r="92" spans="1:38">
      <c r="A92" s="1">
        <v>91</v>
      </c>
      <c r="B92" s="3" t="s">
        <v>27</v>
      </c>
      <c r="C92" s="7" t="s">
        <v>112</v>
      </c>
      <c r="D92" s="7" t="s">
        <v>113</v>
      </c>
      <c r="E92" s="8">
        <v>57.05</v>
      </c>
      <c r="F92" s="8">
        <v>-135.30000000000001</v>
      </c>
      <c r="G92" s="9" t="s">
        <v>30</v>
      </c>
      <c r="H92" s="3" t="s">
        <v>31</v>
      </c>
      <c r="I92" s="3" t="s">
        <v>31</v>
      </c>
      <c r="J92" s="3" t="s">
        <v>31</v>
      </c>
      <c r="K92" s="7" t="s">
        <v>51</v>
      </c>
      <c r="L92" s="9">
        <v>14</v>
      </c>
      <c r="M92" s="9">
        <v>26</v>
      </c>
      <c r="N92" s="9">
        <f t="shared" si="4"/>
        <v>12</v>
      </c>
      <c r="O92" s="9"/>
      <c r="P92" s="9"/>
      <c r="Q92" s="25"/>
      <c r="R92" s="17">
        <v>0</v>
      </c>
      <c r="S92" s="1">
        <v>0.12</v>
      </c>
      <c r="T92" s="1">
        <f t="shared" si="5"/>
        <v>0.12</v>
      </c>
      <c r="U92" s="12">
        <v>0</v>
      </c>
      <c r="V92" s="13">
        <v>37.104165000000002</v>
      </c>
      <c r="W92" s="14">
        <f t="shared" si="6"/>
        <v>5342.9997599999997</v>
      </c>
      <c r="X92" s="25"/>
      <c r="Y92" s="14">
        <f t="shared" si="8"/>
        <v>5342.9997599999997</v>
      </c>
      <c r="Z92" s="3"/>
      <c r="AA92" s="3"/>
      <c r="AB92" s="5"/>
      <c r="AC92" s="5"/>
      <c r="AD92" s="28"/>
      <c r="AE92" s="28"/>
      <c r="AF92" s="3"/>
      <c r="AG92" s="7"/>
      <c r="AH92" s="7"/>
      <c r="AI92" s="3" t="s">
        <v>59</v>
      </c>
      <c r="AJ92" s="7" t="s">
        <v>67</v>
      </c>
      <c r="AK92" s="3"/>
      <c r="AL92" cm="1">
        <f t="array" ref="AL92">IF(getColor(V92) = 16777215, 0, 1)</f>
        <v>0</v>
      </c>
    </row>
    <row r="93" spans="1:38">
      <c r="A93" s="1">
        <v>92</v>
      </c>
      <c r="B93" s="3" t="s">
        <v>27</v>
      </c>
      <c r="C93" s="7" t="s">
        <v>112</v>
      </c>
      <c r="D93" s="7" t="s">
        <v>113</v>
      </c>
      <c r="E93" s="8">
        <v>57.05</v>
      </c>
      <c r="F93" s="8">
        <v>-135.30000000000001</v>
      </c>
      <c r="G93" s="9" t="s">
        <v>30</v>
      </c>
      <c r="H93" s="3" t="s">
        <v>31</v>
      </c>
      <c r="I93" s="3" t="s">
        <v>31</v>
      </c>
      <c r="J93" s="3" t="s">
        <v>31</v>
      </c>
      <c r="K93" s="7" t="s">
        <v>47</v>
      </c>
      <c r="L93" s="9">
        <v>26</v>
      </c>
      <c r="M93" s="9">
        <v>27</v>
      </c>
      <c r="N93" s="9">
        <f t="shared" si="4"/>
        <v>1</v>
      </c>
      <c r="O93" s="9"/>
      <c r="P93" s="9"/>
      <c r="Q93" s="25"/>
      <c r="R93" s="11">
        <v>0</v>
      </c>
      <c r="S93" s="1">
        <v>0.93</v>
      </c>
      <c r="T93" s="1">
        <f t="shared" si="5"/>
        <v>0.93</v>
      </c>
      <c r="U93" s="12">
        <v>1</v>
      </c>
      <c r="V93" s="13">
        <v>16.056265</v>
      </c>
      <c r="W93" s="14">
        <f t="shared" si="6"/>
        <v>1478.3003185500002</v>
      </c>
      <c r="X93" s="25"/>
      <c r="Y93" s="14">
        <f t="shared" si="8"/>
        <v>1478.3003185500002</v>
      </c>
      <c r="Z93" s="3"/>
      <c r="AA93" s="3"/>
      <c r="AB93" s="5"/>
      <c r="AC93" s="1"/>
      <c r="AD93" s="28"/>
      <c r="AE93" s="28"/>
      <c r="AF93" s="3"/>
      <c r="AG93" s="7"/>
      <c r="AH93" s="7"/>
      <c r="AI93" s="3" t="s">
        <v>59</v>
      </c>
      <c r="AJ93" s="7" t="s">
        <v>47</v>
      </c>
      <c r="AK93" s="3"/>
      <c r="AL93" cm="1">
        <f t="array" ref="AL93">IF(getColor(V93) = 16777215, 0, 1)</f>
        <v>0</v>
      </c>
    </row>
    <row r="94" spans="1:38">
      <c r="A94" s="1">
        <v>93</v>
      </c>
      <c r="B94" s="3" t="s">
        <v>27</v>
      </c>
      <c r="C94" s="7" t="s">
        <v>112</v>
      </c>
      <c r="D94" s="7" t="s">
        <v>113</v>
      </c>
      <c r="E94" s="8">
        <v>57.05</v>
      </c>
      <c r="F94" s="8">
        <v>-135.30000000000001</v>
      </c>
      <c r="G94" s="9" t="s">
        <v>30</v>
      </c>
      <c r="H94" s="3" t="s">
        <v>31</v>
      </c>
      <c r="I94" s="3" t="s">
        <v>31</v>
      </c>
      <c r="J94" s="3" t="s">
        <v>31</v>
      </c>
      <c r="K94" s="7" t="s">
        <v>68</v>
      </c>
      <c r="L94" s="9">
        <v>27</v>
      </c>
      <c r="M94" s="9">
        <v>34</v>
      </c>
      <c r="N94" s="9">
        <f t="shared" si="4"/>
        <v>7</v>
      </c>
      <c r="O94" s="9"/>
      <c r="P94" s="9"/>
      <c r="Q94" s="25"/>
      <c r="R94" s="17">
        <v>0</v>
      </c>
      <c r="S94" s="1">
        <v>0.86</v>
      </c>
      <c r="T94" s="1">
        <f t="shared" si="5"/>
        <v>0.86</v>
      </c>
      <c r="U94" s="12">
        <v>0</v>
      </c>
      <c r="V94" s="13">
        <v>26.358150000000002</v>
      </c>
      <c r="W94" s="14">
        <f t="shared" si="6"/>
        <v>15867.606299999999</v>
      </c>
      <c r="X94" s="25"/>
      <c r="Y94" s="14">
        <f t="shared" si="8"/>
        <v>15867.606299999999</v>
      </c>
      <c r="Z94" s="3"/>
      <c r="AA94" s="3"/>
      <c r="AB94" s="5"/>
      <c r="AC94" s="1"/>
      <c r="AD94" s="28"/>
      <c r="AE94" s="28"/>
      <c r="AF94" s="3"/>
      <c r="AG94" s="7"/>
      <c r="AH94" s="7"/>
      <c r="AI94" s="3" t="s">
        <v>59</v>
      </c>
      <c r="AJ94" s="7" t="s">
        <v>68</v>
      </c>
      <c r="AK94" s="3"/>
      <c r="AL94" cm="1">
        <f t="array" ref="AL94">IF(getColor(V94) = 16777215, 0, 1)</f>
        <v>0</v>
      </c>
    </row>
    <row r="95" spans="1:38">
      <c r="A95" s="1">
        <v>94</v>
      </c>
      <c r="B95" s="3" t="s">
        <v>27</v>
      </c>
      <c r="C95" s="7" t="s">
        <v>112</v>
      </c>
      <c r="D95" s="7" t="s">
        <v>113</v>
      </c>
      <c r="E95" s="8">
        <v>57.05</v>
      </c>
      <c r="F95" s="8">
        <v>-135.30000000000001</v>
      </c>
      <c r="G95" s="9" t="s">
        <v>30</v>
      </c>
      <c r="H95" s="3" t="s">
        <v>31</v>
      </c>
      <c r="I95" s="3" t="s">
        <v>31</v>
      </c>
      <c r="J95" s="3" t="s">
        <v>31</v>
      </c>
      <c r="K95" s="7" t="s">
        <v>77</v>
      </c>
      <c r="L95" s="9">
        <v>34</v>
      </c>
      <c r="M95" s="9">
        <v>42</v>
      </c>
      <c r="N95" s="9">
        <f t="shared" si="4"/>
        <v>8</v>
      </c>
      <c r="O95" s="9"/>
      <c r="P95" s="9"/>
      <c r="Q95" s="25"/>
      <c r="R95" s="11">
        <v>0</v>
      </c>
      <c r="S95" s="1">
        <v>0.86</v>
      </c>
      <c r="T95" s="1">
        <f t="shared" si="5"/>
        <v>0.86</v>
      </c>
      <c r="U95" s="12">
        <v>4</v>
      </c>
      <c r="V95" s="13">
        <v>14.472845000000001</v>
      </c>
      <c r="W95" s="14">
        <f t="shared" si="6"/>
        <v>9559.0246655999999</v>
      </c>
      <c r="X95" s="25"/>
      <c r="Y95" s="14">
        <f t="shared" si="8"/>
        <v>9559.0246655999999</v>
      </c>
      <c r="Z95" s="3"/>
      <c r="AA95" s="3"/>
      <c r="AB95" s="5"/>
      <c r="AC95" s="1"/>
      <c r="AD95" s="28"/>
      <c r="AE95" s="28"/>
      <c r="AF95" s="3"/>
      <c r="AG95" s="7"/>
      <c r="AH95" s="7"/>
      <c r="AI95" s="3" t="s">
        <v>59</v>
      </c>
      <c r="AJ95" s="7" t="s">
        <v>78</v>
      </c>
      <c r="AK95" s="3"/>
      <c r="AL95" cm="1">
        <f t="array" ref="AL95">IF(getColor(V95) = 16777215, 0, 1)</f>
        <v>0</v>
      </c>
    </row>
    <row r="96" spans="1:38">
      <c r="A96" s="1">
        <v>95</v>
      </c>
      <c r="B96" s="3" t="s">
        <v>27</v>
      </c>
      <c r="C96" s="7" t="s">
        <v>112</v>
      </c>
      <c r="D96" s="7" t="s">
        <v>113</v>
      </c>
      <c r="E96" s="8">
        <v>57.05</v>
      </c>
      <c r="F96" s="8">
        <v>-135.30000000000001</v>
      </c>
      <c r="G96" s="9" t="s">
        <v>30</v>
      </c>
      <c r="H96" s="3" t="s">
        <v>31</v>
      </c>
      <c r="I96" s="3" t="s">
        <v>31</v>
      </c>
      <c r="J96" s="3" t="s">
        <v>31</v>
      </c>
      <c r="K96" s="7" t="s">
        <v>41</v>
      </c>
      <c r="L96" s="9">
        <v>42</v>
      </c>
      <c r="M96" s="9">
        <v>52</v>
      </c>
      <c r="N96" s="9">
        <f t="shared" si="4"/>
        <v>10</v>
      </c>
      <c r="O96" s="9"/>
      <c r="P96" s="9"/>
      <c r="Q96" s="25"/>
      <c r="R96" s="11">
        <v>0.85</v>
      </c>
      <c r="S96" s="1">
        <v>1.17</v>
      </c>
      <c r="T96" s="1">
        <f t="shared" si="5"/>
        <v>0.85</v>
      </c>
      <c r="U96" s="12">
        <v>2</v>
      </c>
      <c r="V96" s="13">
        <v>6.5074700000000005</v>
      </c>
      <c r="W96" s="14">
        <f t="shared" si="6"/>
        <v>5420.7225100000005</v>
      </c>
      <c r="X96" s="25"/>
      <c r="Y96" s="14">
        <f t="shared" si="8"/>
        <v>5420.7225100000005</v>
      </c>
      <c r="Z96" s="3"/>
      <c r="AA96" s="3"/>
      <c r="AB96" s="5"/>
      <c r="AC96" s="1"/>
      <c r="AD96" s="28"/>
      <c r="AE96" s="28"/>
      <c r="AF96" s="3"/>
      <c r="AG96" s="7"/>
      <c r="AH96" s="7"/>
      <c r="AI96" s="3" t="s">
        <v>59</v>
      </c>
      <c r="AJ96" s="7" t="s">
        <v>61</v>
      </c>
      <c r="AK96" s="3"/>
      <c r="AL96" cm="1">
        <f t="array" ref="AL96">IF(getColor(V96) = 16777215, 0, 1)</f>
        <v>0</v>
      </c>
    </row>
    <row r="97" spans="1:38">
      <c r="A97" s="1">
        <v>96</v>
      </c>
      <c r="B97" s="3" t="s">
        <v>27</v>
      </c>
      <c r="C97" s="7" t="s">
        <v>112</v>
      </c>
      <c r="D97" s="7" t="s">
        <v>113</v>
      </c>
      <c r="E97" s="8">
        <v>57.05</v>
      </c>
      <c r="F97" s="8">
        <v>-135.30000000000001</v>
      </c>
      <c r="G97" s="9" t="s">
        <v>30</v>
      </c>
      <c r="H97" s="3" t="s">
        <v>31</v>
      </c>
      <c r="I97" s="3" t="s">
        <v>31</v>
      </c>
      <c r="J97" s="3" t="s">
        <v>31</v>
      </c>
      <c r="K97" s="7" t="s">
        <v>110</v>
      </c>
      <c r="L97" s="9">
        <v>52</v>
      </c>
      <c r="M97" s="9">
        <v>56</v>
      </c>
      <c r="N97" s="9">
        <f t="shared" si="4"/>
        <v>4</v>
      </c>
      <c r="O97" s="9"/>
      <c r="P97" s="9"/>
      <c r="Q97" s="25"/>
      <c r="R97" s="11">
        <v>0</v>
      </c>
      <c r="S97" s="1">
        <v>1.17</v>
      </c>
      <c r="T97" s="1">
        <f t="shared" si="5"/>
        <v>1.17</v>
      </c>
      <c r="U97" s="12">
        <v>6</v>
      </c>
      <c r="V97" s="13">
        <v>2.1530650000000002</v>
      </c>
      <c r="W97" s="14">
        <f t="shared" si="6"/>
        <v>947.17635480000001</v>
      </c>
      <c r="X97" s="25"/>
      <c r="Y97" s="14">
        <f t="shared" si="8"/>
        <v>947.17635480000001</v>
      </c>
      <c r="Z97" s="3"/>
      <c r="AA97" s="3"/>
      <c r="AB97" s="5"/>
      <c r="AC97" s="1"/>
      <c r="AD97" s="28"/>
      <c r="AE97" s="28"/>
      <c r="AF97" s="3"/>
      <c r="AG97" s="7"/>
      <c r="AH97" s="7"/>
      <c r="AI97" s="3" t="s">
        <v>59</v>
      </c>
      <c r="AJ97" s="7" t="s">
        <v>111</v>
      </c>
      <c r="AK97" s="3"/>
      <c r="AL97" cm="1">
        <f t="array" ref="AL97">IF(getColor(V97) = 16777215, 0, 1)</f>
        <v>0</v>
      </c>
    </row>
    <row r="98" spans="1:38">
      <c r="A98" s="1">
        <v>97</v>
      </c>
      <c r="B98" s="3" t="s">
        <v>27</v>
      </c>
      <c r="C98" s="7" t="s">
        <v>112</v>
      </c>
      <c r="D98" s="7" t="s">
        <v>113</v>
      </c>
      <c r="E98" s="8">
        <v>57.05</v>
      </c>
      <c r="F98" s="8">
        <v>-135.30000000000001</v>
      </c>
      <c r="G98" s="9" t="s">
        <v>30</v>
      </c>
      <c r="H98" s="3" t="s">
        <v>31</v>
      </c>
      <c r="I98" s="3" t="s">
        <v>31</v>
      </c>
      <c r="J98" s="3" t="s">
        <v>31</v>
      </c>
      <c r="K98" s="7" t="s">
        <v>63</v>
      </c>
      <c r="L98" s="9">
        <v>56</v>
      </c>
      <c r="M98" s="9">
        <v>78</v>
      </c>
      <c r="N98" s="9">
        <f t="shared" si="4"/>
        <v>22</v>
      </c>
      <c r="O98" s="9"/>
      <c r="P98" s="9"/>
      <c r="Q98" s="25"/>
      <c r="R98" s="11">
        <v>0</v>
      </c>
      <c r="S98" s="1">
        <v>1.74</v>
      </c>
      <c r="T98" s="1">
        <f t="shared" si="5"/>
        <v>1.74</v>
      </c>
      <c r="U98" s="12">
        <v>23</v>
      </c>
      <c r="V98" s="13">
        <v>0.260685</v>
      </c>
      <c r="W98" s="14">
        <f t="shared" si="6"/>
        <v>768.38467860000003</v>
      </c>
      <c r="X98" s="25"/>
      <c r="Y98" s="14">
        <f t="shared" si="8"/>
        <v>768.38467860000003</v>
      </c>
      <c r="Z98" s="3"/>
      <c r="AA98" s="3"/>
      <c r="AB98" s="5"/>
      <c r="AC98" s="1"/>
      <c r="AD98" s="28"/>
      <c r="AE98" s="28"/>
      <c r="AF98" s="3"/>
      <c r="AG98" s="7"/>
      <c r="AH98" s="7"/>
      <c r="AI98" s="3" t="s">
        <v>59</v>
      </c>
      <c r="AJ98" s="7" t="s">
        <v>63</v>
      </c>
      <c r="AK98" s="3"/>
      <c r="AL98" cm="1">
        <f t="array" ref="AL98">IF(getColor(V98) = 16777215, 0, 1)</f>
        <v>0</v>
      </c>
    </row>
    <row r="99" spans="1:38">
      <c r="A99" s="1">
        <v>98</v>
      </c>
      <c r="B99" s="3" t="s">
        <v>27</v>
      </c>
      <c r="C99" s="7" t="s">
        <v>112</v>
      </c>
      <c r="D99" s="7" t="s">
        <v>113</v>
      </c>
      <c r="E99" s="8">
        <v>57.05</v>
      </c>
      <c r="F99" s="8">
        <v>-135.30000000000001</v>
      </c>
      <c r="G99" s="9" t="s">
        <v>30</v>
      </c>
      <c r="H99" s="3" t="s">
        <v>31</v>
      </c>
      <c r="I99" s="3" t="s">
        <v>31</v>
      </c>
      <c r="J99" s="3" t="s">
        <v>31</v>
      </c>
      <c r="K99" s="7" t="s">
        <v>64</v>
      </c>
      <c r="L99" s="9">
        <v>78</v>
      </c>
      <c r="M99" s="9">
        <v>98</v>
      </c>
      <c r="N99" s="9">
        <f t="shared" si="4"/>
        <v>20</v>
      </c>
      <c r="O99" s="9"/>
      <c r="P99" s="9"/>
      <c r="Q99" s="25"/>
      <c r="R99" s="11">
        <v>0</v>
      </c>
      <c r="S99" s="1">
        <v>1.74</v>
      </c>
      <c r="T99" s="1">
        <f t="shared" si="5"/>
        <v>1.74</v>
      </c>
      <c r="U99" s="12">
        <v>6</v>
      </c>
      <c r="V99" s="13">
        <v>0.260685</v>
      </c>
      <c r="W99" s="14">
        <f t="shared" si="6"/>
        <v>852.75277199999994</v>
      </c>
      <c r="X99" s="25"/>
      <c r="Y99" s="14">
        <f t="shared" si="8"/>
        <v>852.75277199999994</v>
      </c>
      <c r="Z99" s="3"/>
      <c r="AA99" s="3"/>
      <c r="AB99" s="5"/>
      <c r="AC99" s="1"/>
      <c r="AD99" s="28"/>
      <c r="AE99" s="28"/>
      <c r="AF99" s="3"/>
      <c r="AG99" s="7"/>
      <c r="AH99" s="7"/>
      <c r="AI99" s="3" t="s">
        <v>59</v>
      </c>
      <c r="AJ99" s="7" t="s">
        <v>64</v>
      </c>
      <c r="AK99" s="3"/>
      <c r="AL99" cm="1">
        <f t="array" ref="AL99">IF(getColor(V99) = 16777215, 0, 1)</f>
        <v>0</v>
      </c>
    </row>
    <row r="100" spans="1:38">
      <c r="A100" s="1">
        <v>99</v>
      </c>
      <c r="B100" s="3" t="s">
        <v>27</v>
      </c>
      <c r="C100" s="7" t="s">
        <v>112</v>
      </c>
      <c r="D100" s="7" t="s">
        <v>113</v>
      </c>
      <c r="E100" s="8">
        <v>57.05</v>
      </c>
      <c r="F100" s="8">
        <v>-135.30000000000001</v>
      </c>
      <c r="G100" s="9" t="s">
        <v>30</v>
      </c>
      <c r="H100" s="3" t="s">
        <v>31</v>
      </c>
      <c r="I100" s="3" t="s">
        <v>31</v>
      </c>
      <c r="J100" s="3" t="s">
        <v>31</v>
      </c>
      <c r="K100" s="7" t="s">
        <v>114</v>
      </c>
      <c r="L100" s="27">
        <v>98</v>
      </c>
      <c r="M100" s="27">
        <v>115</v>
      </c>
      <c r="N100" s="9">
        <f t="shared" si="4"/>
        <v>17</v>
      </c>
      <c r="O100" s="9"/>
      <c r="P100" s="9"/>
      <c r="Q100" s="25"/>
      <c r="R100" s="11">
        <v>0</v>
      </c>
      <c r="S100" s="1">
        <v>1.74</v>
      </c>
      <c r="T100" s="1">
        <f t="shared" si="5"/>
        <v>1.74</v>
      </c>
      <c r="U100" s="12">
        <v>17</v>
      </c>
      <c r="V100" s="13">
        <v>1.245495</v>
      </c>
      <c r="W100" s="14">
        <f t="shared" si="6"/>
        <v>3057.8645942999997</v>
      </c>
      <c r="X100" s="25"/>
      <c r="Y100" s="14">
        <f>IF(L100&gt;-100,W100-W100*(ABS(M100)-100)/(ABS(M100)-ABS(L100)),0)</f>
        <v>359.7487758000002</v>
      </c>
      <c r="Z100" s="3"/>
      <c r="AA100" s="3"/>
      <c r="AB100" s="5"/>
      <c r="AC100" s="1"/>
      <c r="AD100" s="28"/>
      <c r="AE100" s="28"/>
      <c r="AF100" s="3"/>
      <c r="AG100" s="7"/>
      <c r="AH100" s="7"/>
      <c r="AI100" s="3" t="s">
        <v>59</v>
      </c>
      <c r="AJ100" s="7" t="s">
        <v>114</v>
      </c>
      <c r="AK100" s="3"/>
      <c r="AL100" cm="1">
        <f t="array" ref="AL100">IF(getColor(V100) = 16777215, 0, 1)</f>
        <v>0</v>
      </c>
    </row>
    <row r="101" spans="1:38">
      <c r="A101" s="1">
        <v>100</v>
      </c>
      <c r="B101" s="3" t="s">
        <v>27</v>
      </c>
      <c r="C101" s="7" t="s">
        <v>112</v>
      </c>
      <c r="D101" s="7" t="s">
        <v>113</v>
      </c>
      <c r="E101" s="8">
        <v>57.05</v>
      </c>
      <c r="F101" s="8">
        <v>-135.30000000000001</v>
      </c>
      <c r="G101" s="9" t="s">
        <v>30</v>
      </c>
      <c r="H101" s="3" t="s">
        <v>31</v>
      </c>
      <c r="I101" s="3" t="s">
        <v>31</v>
      </c>
      <c r="J101" s="3" t="s">
        <v>31</v>
      </c>
      <c r="K101" s="7" t="s">
        <v>115</v>
      </c>
      <c r="L101" s="27">
        <v>115</v>
      </c>
      <c r="M101" s="27">
        <v>145</v>
      </c>
      <c r="N101" s="9">
        <f t="shared" si="4"/>
        <v>30</v>
      </c>
      <c r="O101" s="9"/>
      <c r="P101" s="9"/>
      <c r="Q101" s="25"/>
      <c r="R101" s="11">
        <v>0</v>
      </c>
      <c r="S101" s="1">
        <v>1.74</v>
      </c>
      <c r="T101" s="1">
        <f t="shared" si="5"/>
        <v>1.74</v>
      </c>
      <c r="U101" s="12">
        <v>2</v>
      </c>
      <c r="V101" s="13">
        <v>0.260685</v>
      </c>
      <c r="W101" s="14">
        <f t="shared" si="6"/>
        <v>1333.5601860000002</v>
      </c>
      <c r="X101" s="25"/>
      <c r="Y101" s="14">
        <v>0</v>
      </c>
      <c r="Z101" s="3"/>
      <c r="AA101" s="3"/>
      <c r="AB101" s="5"/>
      <c r="AC101" s="1"/>
      <c r="AD101" s="28"/>
      <c r="AE101" s="28"/>
      <c r="AF101" s="3"/>
      <c r="AG101" s="7"/>
      <c r="AH101" s="7"/>
      <c r="AI101" s="3" t="s">
        <v>59</v>
      </c>
      <c r="AJ101" s="7" t="s">
        <v>115</v>
      </c>
      <c r="AK101" s="3"/>
      <c r="AL101" cm="1">
        <f t="array" ref="AL101">IF(getColor(V101) = 16777215, 0, 1)</f>
        <v>0</v>
      </c>
    </row>
    <row r="102" spans="1:38">
      <c r="A102" s="1">
        <v>101</v>
      </c>
      <c r="B102" s="3" t="s">
        <v>27</v>
      </c>
      <c r="C102" s="7" t="s">
        <v>116</v>
      </c>
      <c r="D102" s="7" t="s">
        <v>117</v>
      </c>
      <c r="E102" s="8">
        <v>57.266599999999997</v>
      </c>
      <c r="F102" s="8">
        <v>-134.61660000000001</v>
      </c>
      <c r="G102" s="9" t="s">
        <v>30</v>
      </c>
      <c r="H102" s="3" t="s">
        <v>31</v>
      </c>
      <c r="I102" s="3" t="s">
        <v>31</v>
      </c>
      <c r="J102" s="3" t="s">
        <v>31</v>
      </c>
      <c r="K102" s="7" t="s">
        <v>51</v>
      </c>
      <c r="L102" s="9">
        <v>16</v>
      </c>
      <c r="M102" s="9">
        <v>0</v>
      </c>
      <c r="N102" s="9">
        <f t="shared" si="4"/>
        <v>16</v>
      </c>
      <c r="O102" s="29">
        <f>M104</f>
        <v>22</v>
      </c>
      <c r="P102" s="29">
        <f>L102</f>
        <v>16</v>
      </c>
      <c r="Q102" s="29">
        <f>P102+O102</f>
        <v>38</v>
      </c>
      <c r="R102" s="11">
        <v>0</v>
      </c>
      <c r="S102" s="1">
        <v>0.13</v>
      </c>
      <c r="T102" s="1">
        <f t="shared" si="5"/>
        <v>0.13</v>
      </c>
      <c r="U102" s="12">
        <v>0</v>
      </c>
      <c r="V102" s="13">
        <v>36.243206999999998</v>
      </c>
      <c r="W102" s="14">
        <f t="shared" si="6"/>
        <v>7538.5870560000003</v>
      </c>
      <c r="X102" s="14">
        <f>SUM(W102:W104)</f>
        <v>57805.649041140001</v>
      </c>
      <c r="Y102" s="14">
        <f t="shared" ref="Y102:Y165" si="9">T102*V102/100*N102*100*100*((100-U102)/100)</f>
        <v>7538.5870560000003</v>
      </c>
      <c r="Z102" s="15">
        <f>SUM(Y102:Y104)/10^6*10^4</f>
        <v>578.05649041139998</v>
      </c>
      <c r="AA102" s="33">
        <v>48.486028897456883</v>
      </c>
      <c r="AB102" s="5"/>
      <c r="AC102" s="1"/>
      <c r="AD102" s="28"/>
      <c r="AE102" s="28"/>
      <c r="AF102" s="3"/>
      <c r="AG102" s="7"/>
      <c r="AH102" s="7"/>
      <c r="AI102" s="3" t="s">
        <v>118</v>
      </c>
      <c r="AJ102" s="7" t="s">
        <v>67</v>
      </c>
      <c r="AK102" s="3"/>
      <c r="AL102" cm="1">
        <f t="array" ref="AL102">IF(getColor(V102) = 16777215, 0, 1)</f>
        <v>0</v>
      </c>
    </row>
    <row r="103" spans="1:38">
      <c r="A103" s="1">
        <v>102</v>
      </c>
      <c r="B103" s="3" t="s">
        <v>27</v>
      </c>
      <c r="C103" s="7" t="s">
        <v>116</v>
      </c>
      <c r="D103" s="7" t="s">
        <v>117</v>
      </c>
      <c r="E103" s="8">
        <v>57.266599999999997</v>
      </c>
      <c r="F103" s="8">
        <v>-134.61660000000001</v>
      </c>
      <c r="G103" s="9" t="s">
        <v>30</v>
      </c>
      <c r="H103" s="3" t="s">
        <v>31</v>
      </c>
      <c r="I103" s="3" t="s">
        <v>31</v>
      </c>
      <c r="J103" s="3" t="s">
        <v>31</v>
      </c>
      <c r="K103" s="7" t="s">
        <v>47</v>
      </c>
      <c r="L103" s="9">
        <v>0</v>
      </c>
      <c r="M103" s="9">
        <v>11</v>
      </c>
      <c r="N103" s="9">
        <f t="shared" si="4"/>
        <v>11</v>
      </c>
      <c r="O103" s="9"/>
      <c r="P103" s="9"/>
      <c r="Q103" s="25"/>
      <c r="R103" s="11">
        <v>0</v>
      </c>
      <c r="S103" s="1">
        <v>1.24</v>
      </c>
      <c r="T103" s="1">
        <f t="shared" si="5"/>
        <v>1.24</v>
      </c>
      <c r="U103" s="12">
        <v>3</v>
      </c>
      <c r="V103" s="13">
        <v>35.963928000000003</v>
      </c>
      <c r="W103" s="14">
        <f t="shared" si="6"/>
        <v>47583.153858239995</v>
      </c>
      <c r="X103" s="25"/>
      <c r="Y103" s="14">
        <f t="shared" si="9"/>
        <v>47583.153858239995</v>
      </c>
      <c r="Z103" s="3"/>
      <c r="AA103" s="3"/>
      <c r="AB103" s="5"/>
      <c r="AC103" s="1"/>
      <c r="AD103" s="28"/>
      <c r="AE103" s="28"/>
      <c r="AF103" s="3"/>
      <c r="AG103" s="7"/>
      <c r="AH103" s="7"/>
      <c r="AI103" s="3" t="s">
        <v>118</v>
      </c>
      <c r="AJ103" s="7" t="s">
        <v>47</v>
      </c>
      <c r="AK103" s="3"/>
      <c r="AL103" cm="1">
        <f t="array" ref="AL103">IF(getColor(V103) = 16777215, 0, 1)</f>
        <v>0</v>
      </c>
    </row>
    <row r="104" spans="1:38">
      <c r="A104" s="1">
        <v>103</v>
      </c>
      <c r="B104" s="3" t="s">
        <v>27</v>
      </c>
      <c r="C104" s="7" t="s">
        <v>116</v>
      </c>
      <c r="D104" s="7" t="s">
        <v>117</v>
      </c>
      <c r="E104" s="8">
        <v>57.266599999999997</v>
      </c>
      <c r="F104" s="8">
        <v>-134.61660000000001</v>
      </c>
      <c r="G104" s="9" t="s">
        <v>30</v>
      </c>
      <c r="H104" s="3" t="s">
        <v>31</v>
      </c>
      <c r="I104" s="3" t="s">
        <v>31</v>
      </c>
      <c r="J104" s="3" t="s">
        <v>31</v>
      </c>
      <c r="K104" s="7" t="s">
        <v>62</v>
      </c>
      <c r="L104" s="9">
        <v>11</v>
      </c>
      <c r="M104" s="9">
        <v>22</v>
      </c>
      <c r="N104" s="9">
        <f t="shared" si="4"/>
        <v>11</v>
      </c>
      <c r="O104" s="9"/>
      <c r="P104" s="9"/>
      <c r="Q104" s="25"/>
      <c r="R104" s="11">
        <v>0</v>
      </c>
      <c r="S104" s="1">
        <v>1.45</v>
      </c>
      <c r="T104" s="1">
        <f t="shared" si="5"/>
        <v>1.45</v>
      </c>
      <c r="U104" s="12">
        <v>78</v>
      </c>
      <c r="V104" s="13">
        <v>7.6486410000000005</v>
      </c>
      <c r="W104" s="14">
        <f t="shared" si="6"/>
        <v>2683.9081268999998</v>
      </c>
      <c r="X104" s="25"/>
      <c r="Y104" s="14">
        <f t="shared" si="9"/>
        <v>2683.9081268999998</v>
      </c>
      <c r="Z104" s="3"/>
      <c r="AA104" s="3"/>
      <c r="AB104" s="5"/>
      <c r="AC104" s="1"/>
      <c r="AD104" s="28"/>
      <c r="AE104" s="28"/>
      <c r="AF104" s="3"/>
      <c r="AG104" s="7"/>
      <c r="AH104" s="7"/>
      <c r="AI104" s="3" t="s">
        <v>118</v>
      </c>
      <c r="AJ104" s="7" t="s">
        <v>62</v>
      </c>
      <c r="AK104" s="3"/>
      <c r="AL104" cm="1">
        <f t="array" ref="AL104">IF(getColor(V104) = 16777215, 0, 1)</f>
        <v>0</v>
      </c>
    </row>
    <row r="105" spans="1:38">
      <c r="A105" s="1">
        <v>104</v>
      </c>
      <c r="B105" s="3" t="s">
        <v>27</v>
      </c>
      <c r="C105" s="7" t="s">
        <v>119</v>
      </c>
      <c r="D105" s="7" t="s">
        <v>120</v>
      </c>
      <c r="E105" s="8">
        <v>57.333300000000001</v>
      </c>
      <c r="F105" s="8">
        <v>-135.01660000000001</v>
      </c>
      <c r="G105" s="9" t="s">
        <v>30</v>
      </c>
      <c r="H105" s="3" t="s">
        <v>31</v>
      </c>
      <c r="I105" s="3" t="s">
        <v>31</v>
      </c>
      <c r="J105" s="3" t="s">
        <v>31</v>
      </c>
      <c r="K105" s="7" t="s">
        <v>49</v>
      </c>
      <c r="L105" s="9">
        <v>21</v>
      </c>
      <c r="M105" s="9">
        <v>11</v>
      </c>
      <c r="N105" s="9">
        <f t="shared" si="4"/>
        <v>10</v>
      </c>
      <c r="O105" s="29">
        <f>M111</f>
        <v>91</v>
      </c>
      <c r="P105" s="29">
        <f>L105</f>
        <v>21</v>
      </c>
      <c r="Q105" s="29">
        <f>P105+O105</f>
        <v>112</v>
      </c>
      <c r="R105" s="11">
        <v>0</v>
      </c>
      <c r="S105" s="1">
        <v>0.08</v>
      </c>
      <c r="T105" s="1">
        <f t="shared" si="5"/>
        <v>0.08</v>
      </c>
      <c r="U105" s="12">
        <v>0</v>
      </c>
      <c r="V105" s="13">
        <v>38.166215000000001</v>
      </c>
      <c r="W105" s="14">
        <f t="shared" si="6"/>
        <v>3053.2972</v>
      </c>
      <c r="X105" s="14">
        <f>SUM(W105:W111)</f>
        <v>27215.294831500003</v>
      </c>
      <c r="Y105" s="14">
        <f t="shared" si="9"/>
        <v>3053.2972</v>
      </c>
      <c r="Z105" s="15">
        <f>SUM(Y105:Y111)/10^6*10^4</f>
        <v>272.152948315</v>
      </c>
      <c r="AA105" s="16">
        <v>64.160848483100438</v>
      </c>
      <c r="AB105" s="5"/>
      <c r="AC105" s="1"/>
      <c r="AD105" s="28"/>
      <c r="AE105" s="28"/>
      <c r="AF105" s="3"/>
      <c r="AG105" s="7"/>
      <c r="AH105" s="7"/>
      <c r="AI105" s="3" t="s">
        <v>59</v>
      </c>
      <c r="AJ105" s="7" t="s">
        <v>60</v>
      </c>
      <c r="AK105" s="3"/>
      <c r="AL105" cm="1">
        <f t="array" ref="AL105">IF(getColor(V105) = 16777215, 0, 1)</f>
        <v>0</v>
      </c>
    </row>
    <row r="106" spans="1:38">
      <c r="A106" s="1">
        <v>105</v>
      </c>
      <c r="B106" s="3" t="s">
        <v>27</v>
      </c>
      <c r="C106" s="7" t="s">
        <v>119</v>
      </c>
      <c r="D106" s="7" t="s">
        <v>120</v>
      </c>
      <c r="E106" s="8">
        <v>57.333300000000001</v>
      </c>
      <c r="F106" s="8">
        <v>-135.01660000000001</v>
      </c>
      <c r="G106" s="9" t="s">
        <v>30</v>
      </c>
      <c r="H106" s="3" t="s">
        <v>31</v>
      </c>
      <c r="I106" s="3" t="s">
        <v>31</v>
      </c>
      <c r="J106" s="3" t="s">
        <v>31</v>
      </c>
      <c r="K106" s="7" t="s">
        <v>52</v>
      </c>
      <c r="L106" s="9">
        <v>11</v>
      </c>
      <c r="M106" s="9">
        <v>0</v>
      </c>
      <c r="N106" s="9">
        <f t="shared" si="4"/>
        <v>11</v>
      </c>
      <c r="O106" s="9"/>
      <c r="P106" s="9"/>
      <c r="Q106" s="25"/>
      <c r="R106" s="11">
        <v>0</v>
      </c>
      <c r="S106" s="1">
        <v>0.15</v>
      </c>
      <c r="T106" s="1">
        <f t="shared" si="5"/>
        <v>0.15</v>
      </c>
      <c r="U106" s="12">
        <v>0</v>
      </c>
      <c r="V106" s="13">
        <v>36.148319999999998</v>
      </c>
      <c r="W106" s="14">
        <f t="shared" si="6"/>
        <v>5964.4727999999996</v>
      </c>
      <c r="X106" s="25"/>
      <c r="Y106" s="14">
        <f t="shared" si="9"/>
        <v>5964.4727999999996</v>
      </c>
      <c r="Z106" s="3"/>
      <c r="AA106" s="3"/>
      <c r="AB106" s="5"/>
      <c r="AC106" s="5"/>
      <c r="AD106" s="28"/>
      <c r="AE106" s="28"/>
      <c r="AF106" s="3"/>
      <c r="AG106" s="7"/>
      <c r="AH106" s="7"/>
      <c r="AI106" s="3" t="s">
        <v>59</v>
      </c>
      <c r="AJ106" s="7" t="s">
        <v>76</v>
      </c>
      <c r="AK106" s="3"/>
      <c r="AL106" cm="1">
        <f t="array" ref="AL106">IF(getColor(V106) = 16777215, 0, 1)</f>
        <v>0</v>
      </c>
    </row>
    <row r="107" spans="1:38">
      <c r="A107" s="1">
        <v>106</v>
      </c>
      <c r="B107" s="3" t="s">
        <v>27</v>
      </c>
      <c r="C107" s="7" t="s">
        <v>119</v>
      </c>
      <c r="D107" s="7" t="s">
        <v>120</v>
      </c>
      <c r="E107" s="8">
        <v>57.333300000000001</v>
      </c>
      <c r="F107" s="8">
        <v>-135.01660000000001</v>
      </c>
      <c r="G107" s="9" t="s">
        <v>30</v>
      </c>
      <c r="H107" s="3" t="s">
        <v>31</v>
      </c>
      <c r="I107" s="3" t="s">
        <v>31</v>
      </c>
      <c r="J107" s="3" t="s">
        <v>31</v>
      </c>
      <c r="K107" s="7" t="s">
        <v>47</v>
      </c>
      <c r="L107" s="9">
        <v>0</v>
      </c>
      <c r="M107" s="9">
        <v>6</v>
      </c>
      <c r="N107" s="9">
        <f t="shared" si="4"/>
        <v>6</v>
      </c>
      <c r="O107" s="9"/>
      <c r="P107" s="9"/>
      <c r="Q107" s="25"/>
      <c r="R107" s="11">
        <v>0</v>
      </c>
      <c r="S107" s="1">
        <v>0.93</v>
      </c>
      <c r="T107" s="1">
        <f t="shared" si="5"/>
        <v>0.93</v>
      </c>
      <c r="U107" s="12">
        <v>9</v>
      </c>
      <c r="V107" s="13">
        <v>1.863415</v>
      </c>
      <c r="W107" s="14">
        <f t="shared" si="6"/>
        <v>946.20486870000002</v>
      </c>
      <c r="X107" s="25"/>
      <c r="Y107" s="14">
        <f t="shared" si="9"/>
        <v>946.20486870000002</v>
      </c>
      <c r="Z107" s="3"/>
      <c r="AA107" s="3"/>
      <c r="AB107" s="5"/>
      <c r="AC107" s="1"/>
      <c r="AD107" s="28"/>
      <c r="AE107" s="28"/>
      <c r="AF107" s="3"/>
      <c r="AG107" s="7"/>
      <c r="AH107" s="7"/>
      <c r="AI107" s="3" t="s">
        <v>59</v>
      </c>
      <c r="AJ107" s="7" t="s">
        <v>47</v>
      </c>
      <c r="AK107" s="3"/>
      <c r="AL107" cm="1">
        <f t="array" ref="AL107">IF(getColor(V107) = 16777215, 0, 1)</f>
        <v>0</v>
      </c>
    </row>
    <row r="108" spans="1:38">
      <c r="A108" s="1">
        <v>107</v>
      </c>
      <c r="B108" s="3" t="s">
        <v>27</v>
      </c>
      <c r="C108" s="7" t="s">
        <v>119</v>
      </c>
      <c r="D108" s="7" t="s">
        <v>120</v>
      </c>
      <c r="E108" s="8">
        <v>57.333300000000001</v>
      </c>
      <c r="F108" s="8">
        <v>-135.01660000000001</v>
      </c>
      <c r="G108" s="9" t="s">
        <v>30</v>
      </c>
      <c r="H108" s="3" t="s">
        <v>31</v>
      </c>
      <c r="I108" s="3" t="s">
        <v>31</v>
      </c>
      <c r="J108" s="3" t="s">
        <v>31</v>
      </c>
      <c r="K108" s="7" t="s">
        <v>77</v>
      </c>
      <c r="L108" s="9">
        <v>6</v>
      </c>
      <c r="M108" s="9">
        <v>12</v>
      </c>
      <c r="N108" s="9">
        <f t="shared" si="4"/>
        <v>6</v>
      </c>
      <c r="O108" s="9"/>
      <c r="P108" s="9"/>
      <c r="Q108" s="25"/>
      <c r="R108" s="11">
        <v>0</v>
      </c>
      <c r="S108" s="1">
        <v>0.86</v>
      </c>
      <c r="T108" s="1">
        <f t="shared" si="5"/>
        <v>0.86</v>
      </c>
      <c r="U108" s="12">
        <v>13</v>
      </c>
      <c r="V108" s="13">
        <v>5.5516250000000005</v>
      </c>
      <c r="W108" s="14">
        <f t="shared" si="6"/>
        <v>2492.2354949999999</v>
      </c>
      <c r="X108" s="25"/>
      <c r="Y108" s="14">
        <f t="shared" si="9"/>
        <v>2492.2354949999999</v>
      </c>
      <c r="Z108" s="3"/>
      <c r="AA108" s="3"/>
      <c r="AB108" s="5"/>
      <c r="AC108" s="1"/>
      <c r="AD108" s="28"/>
      <c r="AE108" s="28"/>
      <c r="AF108" s="3"/>
      <c r="AG108" s="7"/>
      <c r="AH108" s="7"/>
      <c r="AI108" s="3" t="s">
        <v>59</v>
      </c>
      <c r="AJ108" s="7" t="s">
        <v>78</v>
      </c>
      <c r="AK108" s="3"/>
      <c r="AL108" cm="1">
        <f t="array" ref="AL108">IF(getColor(V108) = 16777215, 0, 1)</f>
        <v>0</v>
      </c>
    </row>
    <row r="109" spans="1:38">
      <c r="A109" s="1">
        <v>108</v>
      </c>
      <c r="B109" s="3" t="s">
        <v>27</v>
      </c>
      <c r="C109" s="7" t="s">
        <v>119</v>
      </c>
      <c r="D109" s="7" t="s">
        <v>120</v>
      </c>
      <c r="E109" s="8">
        <v>57.333300000000001</v>
      </c>
      <c r="F109" s="8">
        <v>-135.01660000000001</v>
      </c>
      <c r="G109" s="9" t="s">
        <v>30</v>
      </c>
      <c r="H109" s="3" t="s">
        <v>31</v>
      </c>
      <c r="I109" s="3" t="s">
        <v>31</v>
      </c>
      <c r="J109" s="3" t="s">
        <v>31</v>
      </c>
      <c r="K109" s="7" t="s">
        <v>41</v>
      </c>
      <c r="L109" s="9">
        <v>12</v>
      </c>
      <c r="M109" s="9">
        <v>22</v>
      </c>
      <c r="N109" s="9">
        <f t="shared" si="4"/>
        <v>10</v>
      </c>
      <c r="O109" s="9"/>
      <c r="P109" s="9"/>
      <c r="Q109" s="25"/>
      <c r="R109" s="11">
        <v>0</v>
      </c>
      <c r="S109" s="1">
        <v>1.17</v>
      </c>
      <c r="T109" s="1">
        <f t="shared" si="5"/>
        <v>1.17</v>
      </c>
      <c r="U109" s="12">
        <v>8</v>
      </c>
      <c r="V109" s="13">
        <v>2.6744349999999999</v>
      </c>
      <c r="W109" s="14">
        <f t="shared" si="6"/>
        <v>2878.7618340000004</v>
      </c>
      <c r="X109" s="25"/>
      <c r="Y109" s="14">
        <f t="shared" si="9"/>
        <v>2878.7618340000004</v>
      </c>
      <c r="Z109" s="3"/>
      <c r="AA109" s="3"/>
      <c r="AB109" s="5"/>
      <c r="AC109" s="1"/>
      <c r="AD109" s="28"/>
      <c r="AE109" s="28"/>
      <c r="AF109" s="3"/>
      <c r="AG109" s="7"/>
      <c r="AH109" s="7"/>
      <c r="AI109" s="3" t="s">
        <v>59</v>
      </c>
      <c r="AJ109" s="7" t="s">
        <v>61</v>
      </c>
      <c r="AK109" s="3"/>
      <c r="AL109" cm="1">
        <f t="array" ref="AL109">IF(getColor(V109) = 16777215, 0, 1)</f>
        <v>0</v>
      </c>
    </row>
    <row r="110" spans="1:38">
      <c r="A110" s="1">
        <v>109</v>
      </c>
      <c r="B110" s="3" t="s">
        <v>27</v>
      </c>
      <c r="C110" s="7" t="s">
        <v>119</v>
      </c>
      <c r="D110" s="7" t="s">
        <v>120</v>
      </c>
      <c r="E110" s="8">
        <v>57.333300000000001</v>
      </c>
      <c r="F110" s="8">
        <v>-135.01660000000001</v>
      </c>
      <c r="G110" s="9" t="s">
        <v>30</v>
      </c>
      <c r="H110" s="3" t="s">
        <v>31</v>
      </c>
      <c r="I110" s="3" t="s">
        <v>31</v>
      </c>
      <c r="J110" s="3" t="s">
        <v>31</v>
      </c>
      <c r="K110" s="7" t="s">
        <v>79</v>
      </c>
      <c r="L110" s="9">
        <v>22</v>
      </c>
      <c r="M110" s="9">
        <v>42</v>
      </c>
      <c r="N110" s="9">
        <f t="shared" si="4"/>
        <v>20</v>
      </c>
      <c r="O110" s="9"/>
      <c r="P110" s="9"/>
      <c r="Q110" s="25"/>
      <c r="R110" s="11">
        <v>0</v>
      </c>
      <c r="S110" s="1">
        <v>1.71</v>
      </c>
      <c r="T110" s="1">
        <f t="shared" si="5"/>
        <v>1.71</v>
      </c>
      <c r="U110" s="12">
        <v>7</v>
      </c>
      <c r="V110" s="13">
        <v>1.3034250000000001</v>
      </c>
      <c r="W110" s="14">
        <f t="shared" si="6"/>
        <v>4145.6735550000003</v>
      </c>
      <c r="X110" s="25"/>
      <c r="Y110" s="14">
        <f t="shared" si="9"/>
        <v>4145.6735550000003</v>
      </c>
      <c r="Z110" s="3"/>
      <c r="AA110" s="3"/>
      <c r="AB110" s="5"/>
      <c r="AC110" s="1"/>
      <c r="AD110" s="28"/>
      <c r="AE110" s="28"/>
      <c r="AF110" s="3"/>
      <c r="AG110" s="7"/>
      <c r="AH110" s="7"/>
      <c r="AI110" s="3" t="s">
        <v>59</v>
      </c>
      <c r="AJ110" s="7" t="s">
        <v>79</v>
      </c>
      <c r="AK110" s="3"/>
      <c r="AL110" cm="1">
        <f t="array" ref="AL110">IF(getColor(V110) = 16777215, 0, 1)</f>
        <v>0</v>
      </c>
    </row>
    <row r="111" spans="1:38">
      <c r="A111" s="1">
        <v>110</v>
      </c>
      <c r="B111" s="3" t="s">
        <v>27</v>
      </c>
      <c r="C111" s="7" t="s">
        <v>119</v>
      </c>
      <c r="D111" s="7" t="s">
        <v>120</v>
      </c>
      <c r="E111" s="8">
        <v>57.333300000000001</v>
      </c>
      <c r="F111" s="8">
        <v>-135.01660000000001</v>
      </c>
      <c r="G111" s="9" t="s">
        <v>30</v>
      </c>
      <c r="H111" s="3" t="s">
        <v>31</v>
      </c>
      <c r="I111" s="3" t="s">
        <v>31</v>
      </c>
      <c r="J111" s="3" t="s">
        <v>31</v>
      </c>
      <c r="K111" s="7" t="s">
        <v>44</v>
      </c>
      <c r="L111" s="9">
        <v>42</v>
      </c>
      <c r="M111" s="9">
        <v>91</v>
      </c>
      <c r="N111" s="9">
        <f t="shared" si="4"/>
        <v>49</v>
      </c>
      <c r="O111" s="9"/>
      <c r="P111" s="9"/>
      <c r="Q111" s="25"/>
      <c r="R111" s="11">
        <v>0</v>
      </c>
      <c r="S111" s="1">
        <v>1.74</v>
      </c>
      <c r="T111" s="1">
        <f t="shared" si="5"/>
        <v>1.74</v>
      </c>
      <c r="U111" s="12">
        <v>19</v>
      </c>
      <c r="V111" s="13">
        <v>1.11998</v>
      </c>
      <c r="W111" s="14">
        <f t="shared" si="6"/>
        <v>7734.649078800001</v>
      </c>
      <c r="X111" s="25"/>
      <c r="Y111" s="14">
        <f t="shared" si="9"/>
        <v>7734.649078800001</v>
      </c>
      <c r="Z111" s="3"/>
      <c r="AA111" s="3"/>
      <c r="AB111" s="5"/>
      <c r="AC111" s="1"/>
      <c r="AD111" s="28"/>
      <c r="AE111" s="28"/>
      <c r="AF111" s="3"/>
      <c r="AG111" s="7"/>
      <c r="AH111" s="7"/>
      <c r="AI111" s="3" t="s">
        <v>59</v>
      </c>
      <c r="AJ111" s="7" t="s">
        <v>44</v>
      </c>
      <c r="AK111" s="3"/>
      <c r="AL111" cm="1">
        <f t="array" ref="AL111">IF(getColor(V111) = 16777215, 0, 1)</f>
        <v>0</v>
      </c>
    </row>
    <row r="112" spans="1:38">
      <c r="A112" s="1">
        <v>111</v>
      </c>
      <c r="B112" s="3" t="s">
        <v>27</v>
      </c>
      <c r="C112" s="7" t="s">
        <v>121</v>
      </c>
      <c r="D112" s="7" t="s">
        <v>122</v>
      </c>
      <c r="E112" s="8">
        <v>57.516599999999997</v>
      </c>
      <c r="F112" s="8">
        <v>-134.4333</v>
      </c>
      <c r="G112" s="9" t="s">
        <v>30</v>
      </c>
      <c r="H112" s="3" t="s">
        <v>31</v>
      </c>
      <c r="I112" s="3" t="s">
        <v>31</v>
      </c>
      <c r="J112" s="3" t="s">
        <v>31</v>
      </c>
      <c r="K112" s="7" t="s">
        <v>49</v>
      </c>
      <c r="L112" s="9">
        <v>13</v>
      </c>
      <c r="M112" s="9">
        <v>10</v>
      </c>
      <c r="N112" s="9">
        <f t="shared" si="4"/>
        <v>3</v>
      </c>
      <c r="O112" s="29">
        <f>M118</f>
        <v>91</v>
      </c>
      <c r="P112" s="29">
        <f>L112</f>
        <v>13</v>
      </c>
      <c r="Q112" s="29">
        <f>P112+O112</f>
        <v>104</v>
      </c>
      <c r="R112" s="11">
        <v>0</v>
      </c>
      <c r="S112" s="1">
        <v>0.08</v>
      </c>
      <c r="T112" s="1">
        <f t="shared" si="5"/>
        <v>0.08</v>
      </c>
      <c r="U112" s="12">
        <v>0</v>
      </c>
      <c r="V112" s="13">
        <v>38.34966</v>
      </c>
      <c r="W112" s="14">
        <f t="shared" si="6"/>
        <v>920.39184000000012</v>
      </c>
      <c r="X112" s="14">
        <f>SUM(W112:W118)</f>
        <v>34430.400033149999</v>
      </c>
      <c r="Y112" s="14">
        <f t="shared" si="9"/>
        <v>920.39184000000012</v>
      </c>
      <c r="Z112" s="15">
        <f>SUM(Y112:Y118)/10^6*10^4</f>
        <v>344.30400033149999</v>
      </c>
      <c r="AA112" s="16">
        <v>53.707119370397791</v>
      </c>
      <c r="AB112" s="5"/>
      <c r="AC112" s="1"/>
      <c r="AD112" s="28"/>
      <c r="AE112" s="28"/>
      <c r="AF112" s="3"/>
      <c r="AG112" s="7"/>
      <c r="AH112" s="7"/>
      <c r="AI112" s="3" t="s">
        <v>59</v>
      </c>
      <c r="AJ112" s="7" t="s">
        <v>60</v>
      </c>
      <c r="AK112" s="3"/>
      <c r="AL112" cm="1">
        <f t="array" ref="AL112">IF(getColor(V112) = 16777215, 0, 1)</f>
        <v>0</v>
      </c>
    </row>
    <row r="113" spans="1:38">
      <c r="A113" s="1">
        <v>112</v>
      </c>
      <c r="B113" s="3" t="s">
        <v>27</v>
      </c>
      <c r="C113" s="7" t="s">
        <v>121</v>
      </c>
      <c r="D113" s="7" t="s">
        <v>122</v>
      </c>
      <c r="E113" s="8">
        <v>57.516599999999997</v>
      </c>
      <c r="F113" s="8">
        <v>-134.4333</v>
      </c>
      <c r="G113" s="9" t="s">
        <v>30</v>
      </c>
      <c r="H113" s="3" t="s">
        <v>31</v>
      </c>
      <c r="I113" s="3" t="s">
        <v>31</v>
      </c>
      <c r="J113" s="3" t="s">
        <v>31</v>
      </c>
      <c r="K113" s="7" t="s">
        <v>51</v>
      </c>
      <c r="L113" s="9">
        <v>10</v>
      </c>
      <c r="M113" s="27">
        <v>0</v>
      </c>
      <c r="N113" s="9">
        <f t="shared" si="4"/>
        <v>10</v>
      </c>
      <c r="O113" s="9"/>
      <c r="P113" s="9"/>
      <c r="Q113" s="25"/>
      <c r="R113" s="11">
        <v>0</v>
      </c>
      <c r="S113" s="1">
        <v>0.12</v>
      </c>
      <c r="T113" s="1">
        <f t="shared" si="5"/>
        <v>0.12</v>
      </c>
      <c r="U113" s="12">
        <v>0</v>
      </c>
      <c r="V113" s="13">
        <v>38.552415000000003</v>
      </c>
      <c r="W113" s="14">
        <f t="shared" si="6"/>
        <v>4626.2897999999996</v>
      </c>
      <c r="X113" s="25"/>
      <c r="Y113" s="14">
        <f t="shared" si="9"/>
        <v>4626.2897999999996</v>
      </c>
      <c r="Z113" s="3"/>
      <c r="AA113" s="3"/>
      <c r="AB113" s="5"/>
      <c r="AC113" s="5"/>
      <c r="AD113" s="28"/>
      <c r="AE113" s="28"/>
      <c r="AF113" s="3"/>
      <c r="AG113" s="7"/>
      <c r="AH113" s="7"/>
      <c r="AI113" s="3" t="s">
        <v>59</v>
      </c>
      <c r="AJ113" s="7" t="s">
        <v>67</v>
      </c>
      <c r="AK113" s="3"/>
      <c r="AL113" cm="1">
        <f t="array" ref="AL113">IF(getColor(V113) = 16777215, 0, 1)</f>
        <v>0</v>
      </c>
    </row>
    <row r="114" spans="1:38">
      <c r="A114" s="1">
        <v>113</v>
      </c>
      <c r="B114" s="3" t="s">
        <v>27</v>
      </c>
      <c r="C114" s="7" t="s">
        <v>121</v>
      </c>
      <c r="D114" s="7" t="s">
        <v>122</v>
      </c>
      <c r="E114" s="8">
        <v>57.516599999999997</v>
      </c>
      <c r="F114" s="8">
        <v>-134.4333</v>
      </c>
      <c r="G114" s="9" t="s">
        <v>30</v>
      </c>
      <c r="H114" s="3" t="s">
        <v>31</v>
      </c>
      <c r="I114" s="3" t="s">
        <v>31</v>
      </c>
      <c r="J114" s="3" t="s">
        <v>31</v>
      </c>
      <c r="K114" s="34" t="s">
        <v>47</v>
      </c>
      <c r="L114" s="27">
        <v>0</v>
      </c>
      <c r="M114" s="27">
        <v>3</v>
      </c>
      <c r="N114" s="9">
        <f t="shared" si="4"/>
        <v>3</v>
      </c>
      <c r="O114" s="9"/>
      <c r="P114" s="9"/>
      <c r="Q114" s="25"/>
      <c r="R114" s="11">
        <v>0</v>
      </c>
      <c r="S114" s="1">
        <v>0.93</v>
      </c>
      <c r="T114" s="1">
        <f t="shared" si="5"/>
        <v>0.93</v>
      </c>
      <c r="U114" s="12">
        <v>0</v>
      </c>
      <c r="V114" s="31">
        <v>5.8390833333333338</v>
      </c>
      <c r="W114" s="14">
        <f t="shared" si="6"/>
        <v>1629.1042500000003</v>
      </c>
      <c r="X114" s="25"/>
      <c r="Y114" s="14">
        <f t="shared" si="9"/>
        <v>1629.1042500000003</v>
      </c>
      <c r="Z114" s="3"/>
      <c r="AA114" s="3"/>
      <c r="AB114" s="5"/>
      <c r="AC114" s="1"/>
      <c r="AD114" s="28"/>
      <c r="AE114" s="28"/>
      <c r="AF114" s="3"/>
      <c r="AG114" s="7"/>
      <c r="AH114" s="34"/>
      <c r="AI114" s="3" t="s">
        <v>59</v>
      </c>
      <c r="AJ114" s="34" t="s">
        <v>47</v>
      </c>
      <c r="AK114" s="3"/>
      <c r="AL114" cm="1">
        <f t="array" ref="AL114">IF(getColor(V114) = 16777215, 0, 1)</f>
        <v>1</v>
      </c>
    </row>
    <row r="115" spans="1:38">
      <c r="A115" s="1">
        <v>114</v>
      </c>
      <c r="B115" s="3" t="s">
        <v>27</v>
      </c>
      <c r="C115" s="7" t="s">
        <v>121</v>
      </c>
      <c r="D115" s="7" t="s">
        <v>122</v>
      </c>
      <c r="E115" s="8">
        <v>57.516599999999997</v>
      </c>
      <c r="F115" s="8">
        <v>-134.4333</v>
      </c>
      <c r="G115" s="9" t="s">
        <v>30</v>
      </c>
      <c r="H115" s="3" t="s">
        <v>31</v>
      </c>
      <c r="I115" s="3" t="s">
        <v>31</v>
      </c>
      <c r="J115" s="3" t="s">
        <v>31</v>
      </c>
      <c r="K115" s="7" t="s">
        <v>68</v>
      </c>
      <c r="L115" s="27">
        <v>3</v>
      </c>
      <c r="M115" s="9">
        <v>9</v>
      </c>
      <c r="N115" s="9">
        <f t="shared" si="4"/>
        <v>6</v>
      </c>
      <c r="O115" s="9"/>
      <c r="P115" s="9"/>
      <c r="Q115" s="25"/>
      <c r="R115" s="11">
        <v>0</v>
      </c>
      <c r="S115" s="1">
        <v>0.86</v>
      </c>
      <c r="T115" s="1">
        <f t="shared" si="5"/>
        <v>0.86</v>
      </c>
      <c r="U115" s="12">
        <v>14</v>
      </c>
      <c r="V115" s="13">
        <v>14.086645000000001</v>
      </c>
      <c r="W115" s="14">
        <f t="shared" si="6"/>
        <v>6251.0895852000003</v>
      </c>
      <c r="X115" s="25"/>
      <c r="Y115" s="14">
        <f t="shared" si="9"/>
        <v>6251.0895852000003</v>
      </c>
      <c r="Z115" s="3"/>
      <c r="AA115" s="3"/>
      <c r="AB115" s="5"/>
      <c r="AC115" s="1"/>
      <c r="AD115" s="32"/>
      <c r="AE115" s="32"/>
      <c r="AF115" s="3"/>
      <c r="AG115" s="7"/>
      <c r="AH115" s="7"/>
      <c r="AI115" s="3" t="s">
        <v>59</v>
      </c>
      <c r="AJ115" s="7" t="s">
        <v>68</v>
      </c>
      <c r="AK115" s="3"/>
      <c r="AL115" cm="1">
        <f t="array" ref="AL115">IF(getColor(V115) = 16777215, 0, 1)</f>
        <v>0</v>
      </c>
    </row>
    <row r="116" spans="1:38">
      <c r="A116" s="1">
        <v>115</v>
      </c>
      <c r="B116" s="3" t="s">
        <v>27</v>
      </c>
      <c r="C116" s="7" t="s">
        <v>121</v>
      </c>
      <c r="D116" s="7" t="s">
        <v>122</v>
      </c>
      <c r="E116" s="8">
        <v>57.516599999999997</v>
      </c>
      <c r="F116" s="8">
        <v>-134.4333</v>
      </c>
      <c r="G116" s="9" t="s">
        <v>30</v>
      </c>
      <c r="H116" s="3" t="s">
        <v>31</v>
      </c>
      <c r="I116" s="3" t="s">
        <v>31</v>
      </c>
      <c r="J116" s="3" t="s">
        <v>31</v>
      </c>
      <c r="K116" s="7" t="s">
        <v>41</v>
      </c>
      <c r="L116" s="9">
        <v>9</v>
      </c>
      <c r="M116" s="9">
        <v>27</v>
      </c>
      <c r="N116" s="9">
        <f t="shared" si="4"/>
        <v>18</v>
      </c>
      <c r="O116" s="9"/>
      <c r="P116" s="9"/>
      <c r="Q116" s="25"/>
      <c r="R116" s="11">
        <v>0</v>
      </c>
      <c r="S116" s="1">
        <v>1.17</v>
      </c>
      <c r="T116" s="1">
        <f t="shared" si="5"/>
        <v>1.17</v>
      </c>
      <c r="U116" s="12">
        <v>20</v>
      </c>
      <c r="V116" s="13">
        <v>7.8881350000000001</v>
      </c>
      <c r="W116" s="14">
        <f t="shared" si="6"/>
        <v>13289.929847999998</v>
      </c>
      <c r="X116" s="25"/>
      <c r="Y116" s="14">
        <f t="shared" si="9"/>
        <v>13289.929847999998</v>
      </c>
      <c r="Z116" s="3"/>
      <c r="AA116" s="3"/>
      <c r="AB116" s="5"/>
      <c r="AC116" s="1"/>
      <c r="AD116" s="28"/>
      <c r="AE116" s="28"/>
      <c r="AF116" s="3"/>
      <c r="AG116" s="7"/>
      <c r="AH116" s="7"/>
      <c r="AI116" s="3" t="s">
        <v>59</v>
      </c>
      <c r="AJ116" s="7" t="s">
        <v>61</v>
      </c>
      <c r="AK116" s="3"/>
      <c r="AL116" cm="1">
        <f t="array" ref="AL116">IF(getColor(V116) = 16777215, 0, 1)</f>
        <v>0</v>
      </c>
    </row>
    <row r="117" spans="1:38">
      <c r="A117" s="1">
        <v>116</v>
      </c>
      <c r="B117" s="3" t="s">
        <v>27</v>
      </c>
      <c r="C117" s="7" t="s">
        <v>121</v>
      </c>
      <c r="D117" s="7" t="s">
        <v>122</v>
      </c>
      <c r="E117" s="8">
        <v>57.516599999999997</v>
      </c>
      <c r="F117" s="8">
        <v>-134.4333</v>
      </c>
      <c r="G117" s="9" t="s">
        <v>30</v>
      </c>
      <c r="H117" s="3" t="s">
        <v>31</v>
      </c>
      <c r="I117" s="3" t="s">
        <v>31</v>
      </c>
      <c r="J117" s="3" t="s">
        <v>31</v>
      </c>
      <c r="K117" s="7" t="s">
        <v>123</v>
      </c>
      <c r="L117" s="9">
        <v>27</v>
      </c>
      <c r="M117" s="9">
        <v>50</v>
      </c>
      <c r="N117" s="9">
        <f t="shared" si="4"/>
        <v>23</v>
      </c>
      <c r="O117" s="9"/>
      <c r="P117" s="9"/>
      <c r="Q117" s="25"/>
      <c r="R117" s="11">
        <v>0</v>
      </c>
      <c r="S117" s="1">
        <v>1.71</v>
      </c>
      <c r="T117" s="1">
        <f t="shared" si="5"/>
        <v>1.71</v>
      </c>
      <c r="U117" s="12">
        <v>39</v>
      </c>
      <c r="V117" s="13">
        <v>1.4385950000000001</v>
      </c>
      <c r="W117" s="14">
        <f t="shared" si="6"/>
        <v>3451.3764223499998</v>
      </c>
      <c r="X117" s="25"/>
      <c r="Y117" s="14">
        <f t="shared" si="9"/>
        <v>3451.3764223499998</v>
      </c>
      <c r="Z117" s="3"/>
      <c r="AA117" s="3"/>
      <c r="AB117" s="5"/>
      <c r="AC117" s="1"/>
      <c r="AD117" s="28"/>
      <c r="AE117" s="28"/>
      <c r="AF117" s="3"/>
      <c r="AG117" s="7"/>
      <c r="AH117" s="7"/>
      <c r="AI117" s="3" t="s">
        <v>59</v>
      </c>
      <c r="AJ117" s="7" t="s">
        <v>123</v>
      </c>
      <c r="AK117" s="3"/>
      <c r="AL117" cm="1">
        <f t="array" ref="AL117">IF(getColor(V117) = 16777215, 0, 1)</f>
        <v>0</v>
      </c>
    </row>
    <row r="118" spans="1:38">
      <c r="A118" s="1">
        <v>117</v>
      </c>
      <c r="B118" s="3" t="s">
        <v>27</v>
      </c>
      <c r="C118" s="7" t="s">
        <v>121</v>
      </c>
      <c r="D118" s="7" t="s">
        <v>122</v>
      </c>
      <c r="E118" s="8">
        <v>57.516599999999997</v>
      </c>
      <c r="F118" s="8">
        <v>-134.4333</v>
      </c>
      <c r="G118" s="9" t="s">
        <v>30</v>
      </c>
      <c r="H118" s="3" t="s">
        <v>31</v>
      </c>
      <c r="I118" s="3" t="s">
        <v>31</v>
      </c>
      <c r="J118" s="3" t="s">
        <v>31</v>
      </c>
      <c r="K118" s="7" t="s">
        <v>124</v>
      </c>
      <c r="L118" s="9">
        <v>50</v>
      </c>
      <c r="M118" s="9">
        <v>91</v>
      </c>
      <c r="N118" s="9">
        <f t="shared" si="4"/>
        <v>41</v>
      </c>
      <c r="O118" s="9"/>
      <c r="P118" s="9"/>
      <c r="Q118" s="25"/>
      <c r="R118" s="11">
        <v>0</v>
      </c>
      <c r="S118" s="1">
        <v>1.74</v>
      </c>
      <c r="T118" s="1">
        <f t="shared" si="5"/>
        <v>1.74</v>
      </c>
      <c r="U118" s="12">
        <v>32</v>
      </c>
      <c r="V118" s="13">
        <v>0.87860500000000008</v>
      </c>
      <c r="W118" s="14">
        <f t="shared" si="6"/>
        <v>4262.2182876000006</v>
      </c>
      <c r="X118" s="25"/>
      <c r="Y118" s="14">
        <f t="shared" si="9"/>
        <v>4262.2182876000006</v>
      </c>
      <c r="Z118" s="3"/>
      <c r="AA118" s="3"/>
      <c r="AB118" s="5"/>
      <c r="AC118" s="1"/>
      <c r="AD118" s="28"/>
      <c r="AE118" s="28"/>
      <c r="AF118" s="3"/>
      <c r="AG118" s="7"/>
      <c r="AH118" s="7"/>
      <c r="AI118" s="3" t="s">
        <v>59</v>
      </c>
      <c r="AJ118" s="7" t="s">
        <v>124</v>
      </c>
      <c r="AK118" s="3"/>
      <c r="AL118" cm="1">
        <f t="array" ref="AL118">IF(getColor(V118) = 16777215, 0, 1)</f>
        <v>0</v>
      </c>
    </row>
    <row r="119" spans="1:38">
      <c r="A119" s="1">
        <v>118</v>
      </c>
      <c r="B119" s="3" t="s">
        <v>27</v>
      </c>
      <c r="C119" s="7" t="s">
        <v>125</v>
      </c>
      <c r="D119" s="7" t="s">
        <v>126</v>
      </c>
      <c r="E119" s="8">
        <v>57.533299999999997</v>
      </c>
      <c r="F119" s="8">
        <v>-135.16659999999999</v>
      </c>
      <c r="G119" s="9" t="s">
        <v>30</v>
      </c>
      <c r="H119" s="3" t="s">
        <v>31</v>
      </c>
      <c r="I119" s="3" t="s">
        <v>31</v>
      </c>
      <c r="J119" s="3" t="s">
        <v>31</v>
      </c>
      <c r="K119" s="34" t="s">
        <v>49</v>
      </c>
      <c r="L119" s="27">
        <v>12</v>
      </c>
      <c r="M119" s="9">
        <v>7</v>
      </c>
      <c r="N119" s="9">
        <f t="shared" si="4"/>
        <v>5</v>
      </c>
      <c r="O119" s="29">
        <f>M129</f>
        <v>100</v>
      </c>
      <c r="P119" s="29">
        <f>L119</f>
        <v>12</v>
      </c>
      <c r="Q119" s="29">
        <f>P119+O119</f>
        <v>112</v>
      </c>
      <c r="R119" s="11">
        <v>0</v>
      </c>
      <c r="S119" s="1">
        <v>0.08</v>
      </c>
      <c r="T119" s="1">
        <f t="shared" si="5"/>
        <v>0.08</v>
      </c>
      <c r="U119" s="12">
        <v>0</v>
      </c>
      <c r="V119" s="31">
        <v>36.66627891666667</v>
      </c>
      <c r="W119" s="14">
        <f t="shared" si="6"/>
        <v>1466.6511566666668</v>
      </c>
      <c r="X119" s="14">
        <f>SUM(W119:W129)</f>
        <v>77465.191486948737</v>
      </c>
      <c r="Y119" s="14">
        <f t="shared" si="9"/>
        <v>1466.6511566666668</v>
      </c>
      <c r="Z119" s="15">
        <f>SUM(Y119:Y129)/10^6*10^4</f>
        <v>774.65191486948731</v>
      </c>
      <c r="AA119" s="16">
        <v>83.488214217180555</v>
      </c>
      <c r="AB119" s="5"/>
      <c r="AC119" s="1"/>
      <c r="AD119" s="28"/>
      <c r="AE119" s="28"/>
      <c r="AF119" s="3"/>
      <c r="AG119" s="7"/>
      <c r="AH119" s="34"/>
      <c r="AI119" s="3" t="s">
        <v>75</v>
      </c>
      <c r="AJ119" s="34" t="s">
        <v>60</v>
      </c>
      <c r="AK119" s="3"/>
      <c r="AL119" cm="1">
        <f t="array" ref="AL119">IF(getColor(V119) = 16777215, 0, 1)</f>
        <v>1</v>
      </c>
    </row>
    <row r="120" spans="1:38">
      <c r="A120" s="1">
        <v>119</v>
      </c>
      <c r="B120" s="3" t="s">
        <v>27</v>
      </c>
      <c r="C120" s="7" t="s">
        <v>125</v>
      </c>
      <c r="D120" s="7" t="s">
        <v>126</v>
      </c>
      <c r="E120" s="8">
        <v>57.533299999999997</v>
      </c>
      <c r="F120" s="8">
        <v>-135.16659999999999</v>
      </c>
      <c r="G120" s="9" t="s">
        <v>30</v>
      </c>
      <c r="H120" s="3" t="s">
        <v>31</v>
      </c>
      <c r="I120" s="3" t="s">
        <v>31</v>
      </c>
      <c r="J120" s="3" t="s">
        <v>31</v>
      </c>
      <c r="K120" s="34" t="s">
        <v>52</v>
      </c>
      <c r="L120" s="27">
        <v>7</v>
      </c>
      <c r="M120" s="9">
        <v>0</v>
      </c>
      <c r="N120" s="9">
        <f t="shared" si="4"/>
        <v>7</v>
      </c>
      <c r="O120" s="9"/>
      <c r="P120" s="9"/>
      <c r="Q120" s="25"/>
      <c r="R120" s="11">
        <v>0</v>
      </c>
      <c r="S120" s="1">
        <v>0.15</v>
      </c>
      <c r="T120" s="1">
        <f t="shared" si="5"/>
        <v>0.15</v>
      </c>
      <c r="U120" s="12">
        <v>0</v>
      </c>
      <c r="V120" s="31">
        <v>36.068238615384637</v>
      </c>
      <c r="W120" s="14">
        <f t="shared" si="6"/>
        <v>3787.1650546153865</v>
      </c>
      <c r="X120" s="25"/>
      <c r="Y120" s="14">
        <f t="shared" si="9"/>
        <v>3787.1650546153865</v>
      </c>
      <c r="Z120" s="3"/>
      <c r="AA120" s="3"/>
      <c r="AB120" s="5"/>
      <c r="AC120" s="5"/>
      <c r="AD120" s="32"/>
      <c r="AE120" s="32"/>
      <c r="AF120" s="3"/>
      <c r="AG120" s="7"/>
      <c r="AH120" s="34"/>
      <c r="AI120" s="3" t="s">
        <v>75</v>
      </c>
      <c r="AJ120" s="34" t="s">
        <v>76</v>
      </c>
      <c r="AK120" s="3"/>
      <c r="AL120" cm="1">
        <f t="array" ref="AL120">IF(getColor(V120) = 16777215, 0, 1)</f>
        <v>1</v>
      </c>
    </row>
    <row r="121" spans="1:38">
      <c r="A121" s="1">
        <v>120</v>
      </c>
      <c r="B121" s="3" t="s">
        <v>27</v>
      </c>
      <c r="C121" s="7" t="s">
        <v>125</v>
      </c>
      <c r="D121" s="7" t="s">
        <v>126</v>
      </c>
      <c r="E121" s="8">
        <v>57.533299999999997</v>
      </c>
      <c r="F121" s="8">
        <v>-135.16659999999999</v>
      </c>
      <c r="G121" s="9" t="s">
        <v>30</v>
      </c>
      <c r="H121" s="3" t="s">
        <v>31</v>
      </c>
      <c r="I121" s="3" t="s">
        <v>31</v>
      </c>
      <c r="J121" s="3" t="s">
        <v>31</v>
      </c>
      <c r="K121" s="34" t="s">
        <v>47</v>
      </c>
      <c r="L121" s="27">
        <v>0</v>
      </c>
      <c r="M121" s="9">
        <v>1</v>
      </c>
      <c r="N121" s="9">
        <f t="shared" si="4"/>
        <v>1</v>
      </c>
      <c r="O121" s="9"/>
      <c r="P121" s="9"/>
      <c r="Q121" s="25"/>
      <c r="R121" s="11">
        <v>0</v>
      </c>
      <c r="S121" s="1">
        <v>1.31</v>
      </c>
      <c r="T121" s="1">
        <f t="shared" si="5"/>
        <v>1.31</v>
      </c>
      <c r="U121" s="12">
        <v>0</v>
      </c>
      <c r="V121" s="31">
        <v>5.8390833333333338</v>
      </c>
      <c r="W121" s="14">
        <f t="shared" si="6"/>
        <v>764.91991666666672</v>
      </c>
      <c r="X121" s="25"/>
      <c r="Y121" s="14">
        <f t="shared" si="9"/>
        <v>764.91991666666672</v>
      </c>
      <c r="Z121" s="3"/>
      <c r="AA121" s="3"/>
      <c r="AB121" s="5"/>
      <c r="AC121" s="1"/>
      <c r="AD121" s="32"/>
      <c r="AE121" s="32"/>
      <c r="AF121" s="3"/>
      <c r="AG121" s="7"/>
      <c r="AH121" s="34"/>
      <c r="AI121" s="3" t="s">
        <v>75</v>
      </c>
      <c r="AJ121" s="34" t="s">
        <v>47</v>
      </c>
      <c r="AK121" s="3"/>
      <c r="AL121" cm="1">
        <f t="array" ref="AL121">IF(getColor(V121) = 16777215, 0, 1)</f>
        <v>1</v>
      </c>
    </row>
    <row r="122" spans="1:38">
      <c r="A122" s="1">
        <v>121</v>
      </c>
      <c r="B122" s="3" t="s">
        <v>27</v>
      </c>
      <c r="C122" s="7" t="s">
        <v>125</v>
      </c>
      <c r="D122" s="7" t="s">
        <v>126</v>
      </c>
      <c r="E122" s="8">
        <v>57.533299999999997</v>
      </c>
      <c r="F122" s="8">
        <v>-135.16659999999999</v>
      </c>
      <c r="G122" s="9" t="s">
        <v>30</v>
      </c>
      <c r="H122" s="3" t="s">
        <v>31</v>
      </c>
      <c r="I122" s="3" t="s">
        <v>31</v>
      </c>
      <c r="J122" s="3" t="s">
        <v>31</v>
      </c>
      <c r="K122" s="7" t="s">
        <v>68</v>
      </c>
      <c r="L122" s="9">
        <v>1</v>
      </c>
      <c r="M122" s="9">
        <v>6</v>
      </c>
      <c r="N122" s="9">
        <f t="shared" si="4"/>
        <v>5</v>
      </c>
      <c r="O122" s="9"/>
      <c r="P122" s="9"/>
      <c r="Q122" s="25"/>
      <c r="R122" s="11">
        <v>0</v>
      </c>
      <c r="S122" s="1">
        <v>1.19</v>
      </c>
      <c r="T122" s="1">
        <f t="shared" si="5"/>
        <v>1.19</v>
      </c>
      <c r="U122" s="12">
        <v>15</v>
      </c>
      <c r="V122" s="13">
        <v>15.77627</v>
      </c>
      <c r="W122" s="14">
        <f t="shared" si="6"/>
        <v>7978.8485525000006</v>
      </c>
      <c r="X122" s="25"/>
      <c r="Y122" s="14">
        <f t="shared" si="9"/>
        <v>7978.8485525000006</v>
      </c>
      <c r="Z122" s="3"/>
      <c r="AA122" s="3"/>
      <c r="AB122" s="5"/>
      <c r="AC122" s="1"/>
      <c r="AD122" s="32"/>
      <c r="AE122" s="32"/>
      <c r="AF122" s="3"/>
      <c r="AG122" s="7"/>
      <c r="AH122" s="7"/>
      <c r="AI122" s="3" t="s">
        <v>75</v>
      </c>
      <c r="AJ122" s="7" t="s">
        <v>68</v>
      </c>
      <c r="AK122" s="3"/>
      <c r="AL122" cm="1">
        <f t="array" ref="AL122">IF(getColor(V122) = 16777215, 0, 1)</f>
        <v>0</v>
      </c>
    </row>
    <row r="123" spans="1:38">
      <c r="A123" s="1">
        <v>122</v>
      </c>
      <c r="B123" s="3" t="s">
        <v>27</v>
      </c>
      <c r="C123" s="7" t="s">
        <v>125</v>
      </c>
      <c r="D123" s="7" t="s">
        <v>126</v>
      </c>
      <c r="E123" s="8">
        <v>57.533299999999997</v>
      </c>
      <c r="F123" s="8">
        <v>-135.16659999999999</v>
      </c>
      <c r="G123" s="9" t="s">
        <v>30</v>
      </c>
      <c r="H123" s="3" t="s">
        <v>31</v>
      </c>
      <c r="I123" s="3" t="s">
        <v>31</v>
      </c>
      <c r="J123" s="3" t="s">
        <v>31</v>
      </c>
      <c r="K123" s="7" t="s">
        <v>41</v>
      </c>
      <c r="L123" s="9">
        <v>6</v>
      </c>
      <c r="M123" s="9">
        <v>16</v>
      </c>
      <c r="N123" s="9">
        <f t="shared" si="4"/>
        <v>10</v>
      </c>
      <c r="O123" s="9"/>
      <c r="P123" s="9"/>
      <c r="Q123" s="25"/>
      <c r="R123" s="11">
        <v>0</v>
      </c>
      <c r="S123" s="1">
        <v>1.46</v>
      </c>
      <c r="T123" s="1">
        <f t="shared" si="5"/>
        <v>1.46</v>
      </c>
      <c r="U123" s="12">
        <v>7</v>
      </c>
      <c r="V123" s="13">
        <v>6.6329850000000006</v>
      </c>
      <c r="W123" s="14">
        <f t="shared" si="6"/>
        <v>9006.2670330000019</v>
      </c>
      <c r="X123" s="25"/>
      <c r="Y123" s="14">
        <f t="shared" si="9"/>
        <v>9006.2670330000019</v>
      </c>
      <c r="Z123" s="3"/>
      <c r="AA123" s="3"/>
      <c r="AB123" s="5"/>
      <c r="AC123" s="1"/>
      <c r="AD123" s="28"/>
      <c r="AE123" s="28"/>
      <c r="AF123" s="3"/>
      <c r="AG123" s="7"/>
      <c r="AH123" s="7"/>
      <c r="AI123" s="3" t="s">
        <v>75</v>
      </c>
      <c r="AJ123" s="7" t="s">
        <v>61</v>
      </c>
      <c r="AK123" s="3"/>
      <c r="AL123" cm="1">
        <f t="array" ref="AL123">IF(getColor(V123) = 16777215, 0, 1)</f>
        <v>0</v>
      </c>
    </row>
    <row r="124" spans="1:38">
      <c r="A124" s="1">
        <v>123</v>
      </c>
      <c r="B124" s="3" t="s">
        <v>27</v>
      </c>
      <c r="C124" s="7" t="s">
        <v>125</v>
      </c>
      <c r="D124" s="7" t="s">
        <v>126</v>
      </c>
      <c r="E124" s="8">
        <v>57.533299999999997</v>
      </c>
      <c r="F124" s="8">
        <v>-135.16659999999999</v>
      </c>
      <c r="G124" s="9" t="s">
        <v>30</v>
      </c>
      <c r="H124" s="3" t="s">
        <v>31</v>
      </c>
      <c r="I124" s="3" t="s">
        <v>31</v>
      </c>
      <c r="J124" s="3" t="s">
        <v>31</v>
      </c>
      <c r="K124" s="34" t="s">
        <v>127</v>
      </c>
      <c r="L124" s="27">
        <v>16</v>
      </c>
      <c r="M124" s="27">
        <v>17</v>
      </c>
      <c r="N124" s="9">
        <f t="shared" si="4"/>
        <v>1</v>
      </c>
      <c r="O124" s="9"/>
      <c r="P124" s="9"/>
      <c r="Q124" s="25"/>
      <c r="R124" s="11">
        <v>0</v>
      </c>
      <c r="S124" s="1">
        <v>1.31</v>
      </c>
      <c r="T124" s="1">
        <f t="shared" si="5"/>
        <v>1.31</v>
      </c>
      <c r="U124" s="12">
        <v>0</v>
      </c>
      <c r="V124" s="31">
        <v>5.8390833333333338</v>
      </c>
      <c r="W124" s="14">
        <f t="shared" si="6"/>
        <v>764.91991666666672</v>
      </c>
      <c r="X124" s="25"/>
      <c r="Y124" s="14">
        <f t="shared" si="9"/>
        <v>764.91991666666672</v>
      </c>
      <c r="Z124" s="3"/>
      <c r="AA124" s="3"/>
      <c r="AB124" s="5"/>
      <c r="AC124" s="1"/>
      <c r="AD124" s="28"/>
      <c r="AE124" s="28"/>
      <c r="AF124" s="3"/>
      <c r="AG124" s="7"/>
      <c r="AH124" s="34"/>
      <c r="AI124" s="3" t="s">
        <v>75</v>
      </c>
      <c r="AJ124" s="34" t="s">
        <v>127</v>
      </c>
      <c r="AK124" s="3"/>
      <c r="AL124" cm="1">
        <f t="array" ref="AL124">IF(getColor(V124) = 16777215, 0, 1)</f>
        <v>1</v>
      </c>
    </row>
    <row r="125" spans="1:38">
      <c r="A125" s="1">
        <v>124</v>
      </c>
      <c r="B125" s="3" t="s">
        <v>27</v>
      </c>
      <c r="C125" s="7" t="s">
        <v>125</v>
      </c>
      <c r="D125" s="7" t="s">
        <v>126</v>
      </c>
      <c r="E125" s="8">
        <v>57.533299999999997</v>
      </c>
      <c r="F125" s="8">
        <v>-135.16659999999999</v>
      </c>
      <c r="G125" s="9" t="s">
        <v>30</v>
      </c>
      <c r="H125" s="3" t="s">
        <v>31</v>
      </c>
      <c r="I125" s="3" t="s">
        <v>31</v>
      </c>
      <c r="J125" s="3" t="s">
        <v>31</v>
      </c>
      <c r="K125" s="7" t="s">
        <v>79</v>
      </c>
      <c r="L125" s="9">
        <v>17</v>
      </c>
      <c r="M125" s="9">
        <v>66</v>
      </c>
      <c r="N125" s="9">
        <f t="shared" si="4"/>
        <v>49</v>
      </c>
      <c r="O125" s="9"/>
      <c r="P125" s="9"/>
      <c r="Q125" s="25"/>
      <c r="R125" s="11">
        <v>0</v>
      </c>
      <c r="S125" s="1">
        <v>1.19</v>
      </c>
      <c r="T125" s="1">
        <f t="shared" si="5"/>
        <v>1.19</v>
      </c>
      <c r="U125" s="12">
        <v>22</v>
      </c>
      <c r="V125" s="13">
        <v>8.737775000000001</v>
      </c>
      <c r="W125" s="14">
        <f t="shared" si="6"/>
        <v>39740.973499500011</v>
      </c>
      <c r="X125" s="25"/>
      <c r="Y125" s="14">
        <f t="shared" si="9"/>
        <v>39740.973499500011</v>
      </c>
      <c r="Z125" s="3"/>
      <c r="AA125" s="3"/>
      <c r="AB125" s="5"/>
      <c r="AC125" s="1"/>
      <c r="AD125" s="32"/>
      <c r="AE125" s="32"/>
      <c r="AF125" s="3"/>
      <c r="AG125" s="7"/>
      <c r="AH125" s="7"/>
      <c r="AI125" s="3" t="s">
        <v>75</v>
      </c>
      <c r="AJ125" s="7" t="s">
        <v>79</v>
      </c>
      <c r="AK125" s="3"/>
      <c r="AL125" cm="1">
        <f t="array" ref="AL125">IF(getColor(V125) = 16777215, 0, 1)</f>
        <v>0</v>
      </c>
    </row>
    <row r="126" spans="1:38">
      <c r="A126" s="1">
        <v>125</v>
      </c>
      <c r="B126" s="3" t="s">
        <v>27</v>
      </c>
      <c r="C126" s="7" t="s">
        <v>125</v>
      </c>
      <c r="D126" s="7" t="s">
        <v>126</v>
      </c>
      <c r="E126" s="8">
        <v>57.533299999999997</v>
      </c>
      <c r="F126" s="8">
        <v>-135.16659999999999</v>
      </c>
      <c r="G126" s="9" t="s">
        <v>30</v>
      </c>
      <c r="H126" s="3" t="s">
        <v>31</v>
      </c>
      <c r="I126" s="3" t="s">
        <v>31</v>
      </c>
      <c r="J126" s="3" t="s">
        <v>31</v>
      </c>
      <c r="K126" s="7" t="s">
        <v>52</v>
      </c>
      <c r="L126" s="9">
        <v>66</v>
      </c>
      <c r="M126" s="9">
        <v>72</v>
      </c>
      <c r="N126" s="9">
        <f t="shared" si="4"/>
        <v>6</v>
      </c>
      <c r="O126" s="9"/>
      <c r="P126" s="9"/>
      <c r="Q126" s="25"/>
      <c r="R126" s="11">
        <v>0</v>
      </c>
      <c r="S126" s="1">
        <v>0.15</v>
      </c>
      <c r="T126" s="1">
        <f t="shared" si="5"/>
        <v>0.15</v>
      </c>
      <c r="U126" s="12">
        <v>10</v>
      </c>
      <c r="V126" s="13">
        <v>17.321070000000002</v>
      </c>
      <c r="W126" s="14">
        <f t="shared" si="6"/>
        <v>1403.00667</v>
      </c>
      <c r="X126" s="25"/>
      <c r="Y126" s="14">
        <f t="shared" si="9"/>
        <v>1403.00667</v>
      </c>
      <c r="Z126" s="3"/>
      <c r="AA126" s="3"/>
      <c r="AB126" s="5"/>
      <c r="AC126" s="1"/>
      <c r="AD126" s="28"/>
      <c r="AE126" s="28"/>
      <c r="AF126" s="3"/>
      <c r="AG126" s="7"/>
      <c r="AH126" s="7"/>
      <c r="AI126" s="3" t="s">
        <v>75</v>
      </c>
      <c r="AJ126" s="7" t="s">
        <v>76</v>
      </c>
      <c r="AK126" s="3"/>
      <c r="AL126" cm="1">
        <f t="array" ref="AL126">IF(getColor(V126) = 16777215, 0, 1)</f>
        <v>0</v>
      </c>
    </row>
    <row r="127" spans="1:38">
      <c r="A127" s="1">
        <v>126</v>
      </c>
      <c r="B127" s="3" t="s">
        <v>27</v>
      </c>
      <c r="C127" s="7" t="s">
        <v>125</v>
      </c>
      <c r="D127" s="7" t="s">
        <v>126</v>
      </c>
      <c r="E127" s="8">
        <v>57.533299999999997</v>
      </c>
      <c r="F127" s="8">
        <v>-135.16659999999999</v>
      </c>
      <c r="G127" s="9" t="s">
        <v>30</v>
      </c>
      <c r="H127" s="3" t="s">
        <v>31</v>
      </c>
      <c r="I127" s="3" t="s">
        <v>31</v>
      </c>
      <c r="J127" s="3" t="s">
        <v>31</v>
      </c>
      <c r="K127" s="34" t="s">
        <v>128</v>
      </c>
      <c r="L127" s="27">
        <v>72</v>
      </c>
      <c r="M127" s="27">
        <v>74</v>
      </c>
      <c r="N127" s="9">
        <f t="shared" si="4"/>
        <v>2</v>
      </c>
      <c r="O127" s="9"/>
      <c r="P127" s="9"/>
      <c r="Q127" s="25"/>
      <c r="R127" s="11">
        <v>0</v>
      </c>
      <c r="S127" s="1">
        <v>1.31</v>
      </c>
      <c r="T127" s="1">
        <f t="shared" si="5"/>
        <v>1.31</v>
      </c>
      <c r="U127" s="12">
        <v>0</v>
      </c>
      <c r="V127" s="31">
        <v>5.8390833333333338</v>
      </c>
      <c r="W127" s="14">
        <f t="shared" si="6"/>
        <v>1529.8398333333334</v>
      </c>
      <c r="X127" s="25"/>
      <c r="Y127" s="14">
        <f t="shared" si="9"/>
        <v>1529.8398333333334</v>
      </c>
      <c r="Z127" s="3"/>
      <c r="AA127" s="3"/>
      <c r="AB127" s="5"/>
      <c r="AC127" s="1"/>
      <c r="AD127" s="28"/>
      <c r="AE127" s="28"/>
      <c r="AF127" s="3"/>
      <c r="AG127" s="7"/>
      <c r="AH127" s="34"/>
      <c r="AI127" s="3" t="s">
        <v>75</v>
      </c>
      <c r="AJ127" s="34" t="s">
        <v>128</v>
      </c>
      <c r="AK127" s="3"/>
      <c r="AL127" cm="1">
        <f t="array" ref="AL127">IF(getColor(V127) = 16777215, 0, 1)</f>
        <v>1</v>
      </c>
    </row>
    <row r="128" spans="1:38">
      <c r="A128" s="1">
        <v>127</v>
      </c>
      <c r="B128" s="3" t="s">
        <v>27</v>
      </c>
      <c r="C128" s="7" t="s">
        <v>125</v>
      </c>
      <c r="D128" s="7" t="s">
        <v>126</v>
      </c>
      <c r="E128" s="8">
        <v>57.533299999999997</v>
      </c>
      <c r="F128" s="8">
        <v>-135.16659999999999</v>
      </c>
      <c r="G128" s="9" t="s">
        <v>30</v>
      </c>
      <c r="H128" s="3" t="s">
        <v>31</v>
      </c>
      <c r="I128" s="3" t="s">
        <v>31</v>
      </c>
      <c r="J128" s="3" t="s">
        <v>31</v>
      </c>
      <c r="K128" s="7" t="s">
        <v>79</v>
      </c>
      <c r="L128" s="9">
        <v>74</v>
      </c>
      <c r="M128" s="9">
        <v>79</v>
      </c>
      <c r="N128" s="9">
        <f t="shared" si="4"/>
        <v>5</v>
      </c>
      <c r="O128" s="9"/>
      <c r="P128" s="9"/>
      <c r="Q128" s="25"/>
      <c r="R128" s="11">
        <v>0</v>
      </c>
      <c r="S128" s="1">
        <v>1.19</v>
      </c>
      <c r="T128" s="1">
        <f t="shared" si="5"/>
        <v>1.19</v>
      </c>
      <c r="U128" s="12">
        <v>8</v>
      </c>
      <c r="V128" s="13">
        <v>7.2605599999999999</v>
      </c>
      <c r="W128" s="14">
        <f t="shared" si="6"/>
        <v>3974.4305439999998</v>
      </c>
      <c r="X128" s="25"/>
      <c r="Y128" s="14">
        <f t="shared" si="9"/>
        <v>3974.4305439999998</v>
      </c>
      <c r="Z128" s="3"/>
      <c r="AA128" s="3"/>
      <c r="AB128" s="5"/>
      <c r="AC128" s="1"/>
      <c r="AD128" s="32"/>
      <c r="AE128" s="32"/>
      <c r="AF128" s="3"/>
      <c r="AG128" s="7"/>
      <c r="AH128" s="7"/>
      <c r="AI128" s="3" t="s">
        <v>75</v>
      </c>
      <c r="AJ128" s="7" t="s">
        <v>79</v>
      </c>
      <c r="AK128" s="3"/>
      <c r="AL128" cm="1">
        <f t="array" ref="AL128">IF(getColor(V128) = 16777215, 0, 1)</f>
        <v>0</v>
      </c>
    </row>
    <row r="129" spans="1:38">
      <c r="A129" s="1">
        <v>128</v>
      </c>
      <c r="B129" s="3" t="s">
        <v>27</v>
      </c>
      <c r="C129" s="7" t="s">
        <v>125</v>
      </c>
      <c r="D129" s="7" t="s">
        <v>126</v>
      </c>
      <c r="E129" s="8">
        <v>57.533299999999997</v>
      </c>
      <c r="F129" s="8">
        <v>-135.16659999999999</v>
      </c>
      <c r="G129" s="9" t="s">
        <v>30</v>
      </c>
      <c r="H129" s="3" t="s">
        <v>31</v>
      </c>
      <c r="I129" s="3" t="s">
        <v>31</v>
      </c>
      <c r="J129" s="3" t="s">
        <v>31</v>
      </c>
      <c r="K129" s="7" t="s">
        <v>129</v>
      </c>
      <c r="L129" s="9">
        <v>79</v>
      </c>
      <c r="M129" s="9">
        <v>100</v>
      </c>
      <c r="N129" s="9">
        <f t="shared" si="4"/>
        <v>21</v>
      </c>
      <c r="O129" s="9"/>
      <c r="P129" s="9"/>
      <c r="Q129" s="25"/>
      <c r="R129" s="11">
        <v>0</v>
      </c>
      <c r="S129" s="1">
        <v>1.91</v>
      </c>
      <c r="T129" s="1">
        <f t="shared" si="5"/>
        <v>1.91</v>
      </c>
      <c r="U129" s="12">
        <v>48</v>
      </c>
      <c r="V129" s="13">
        <v>3.3792499999999999</v>
      </c>
      <c r="W129" s="14">
        <f t="shared" si="6"/>
        <v>7048.1693100000011</v>
      </c>
      <c r="X129" s="25"/>
      <c r="Y129" s="14">
        <f t="shared" si="9"/>
        <v>7048.1693100000011</v>
      </c>
      <c r="Z129" s="3"/>
      <c r="AA129" s="3"/>
      <c r="AB129" s="5"/>
      <c r="AC129" s="1"/>
      <c r="AD129" s="28"/>
      <c r="AE129" s="28"/>
      <c r="AF129" s="3"/>
      <c r="AG129" s="7"/>
      <c r="AH129" s="7"/>
      <c r="AI129" s="3" t="s">
        <v>75</v>
      </c>
      <c r="AJ129" s="7" t="s">
        <v>129</v>
      </c>
      <c r="AK129" s="3"/>
      <c r="AL129" cm="1">
        <f t="array" ref="AL129">IF(getColor(V129) = 16777215, 0, 1)</f>
        <v>0</v>
      </c>
    </row>
    <row r="130" spans="1:38">
      <c r="A130" s="1">
        <v>129</v>
      </c>
      <c r="B130" s="3" t="s">
        <v>27</v>
      </c>
      <c r="C130" s="7" t="s">
        <v>130</v>
      </c>
      <c r="D130" s="7" t="s">
        <v>131</v>
      </c>
      <c r="E130" s="8">
        <v>57.7333</v>
      </c>
      <c r="F130" s="8">
        <v>-135.4333</v>
      </c>
      <c r="G130" s="9" t="s">
        <v>30</v>
      </c>
      <c r="H130" s="3" t="s">
        <v>31</v>
      </c>
      <c r="I130" s="3" t="s">
        <v>31</v>
      </c>
      <c r="J130" s="3" t="s">
        <v>31</v>
      </c>
      <c r="K130" s="7" t="s">
        <v>51</v>
      </c>
      <c r="L130" s="27">
        <v>13</v>
      </c>
      <c r="M130" s="27">
        <v>10</v>
      </c>
      <c r="N130" s="9">
        <f t="shared" ref="N130:N193" si="10">ABS(M130-L130)</f>
        <v>3</v>
      </c>
      <c r="O130" s="29">
        <f>M138</f>
        <v>76</v>
      </c>
      <c r="P130" s="29">
        <f>L130</f>
        <v>13</v>
      </c>
      <c r="Q130" s="29">
        <f>P130+O130</f>
        <v>89</v>
      </c>
      <c r="R130" s="11">
        <v>0</v>
      </c>
      <c r="S130" s="1">
        <v>0.12</v>
      </c>
      <c r="T130" s="1">
        <f t="shared" ref="T130:T193" si="11">IF(R130=0,S130,R130)</f>
        <v>0.12</v>
      </c>
      <c r="U130" s="12">
        <v>0</v>
      </c>
      <c r="V130" s="13">
        <v>51.847350000000006</v>
      </c>
      <c r="W130" s="14">
        <f t="shared" si="6"/>
        <v>1866.5046</v>
      </c>
      <c r="X130" s="14">
        <f>SUM(W130:W138)</f>
        <v>40236.269882350003</v>
      </c>
      <c r="Y130" s="14">
        <f t="shared" si="9"/>
        <v>1866.5046</v>
      </c>
      <c r="Z130" s="15">
        <f>SUM(Y130:Y138)/10^6*10^4</f>
        <v>402.36269882350001</v>
      </c>
      <c r="AA130" s="33">
        <v>67.229349945000891</v>
      </c>
      <c r="AB130" s="5"/>
      <c r="AC130" s="1"/>
      <c r="AD130" s="28"/>
      <c r="AE130" s="28"/>
      <c r="AF130" s="3"/>
      <c r="AG130" s="7"/>
      <c r="AH130" s="7"/>
      <c r="AI130" s="3" t="s">
        <v>59</v>
      </c>
      <c r="AJ130" s="7" t="s">
        <v>67</v>
      </c>
      <c r="AK130" s="3"/>
      <c r="AL130" cm="1">
        <f t="array" ref="AL130">IF(getColor(V130) = 16777215, 0, 1)</f>
        <v>0</v>
      </c>
    </row>
    <row r="131" spans="1:38">
      <c r="A131" s="1">
        <v>130</v>
      </c>
      <c r="B131" s="3" t="s">
        <v>27</v>
      </c>
      <c r="C131" s="7" t="s">
        <v>130</v>
      </c>
      <c r="D131" s="7" t="s">
        <v>131</v>
      </c>
      <c r="E131" s="8">
        <v>57.7333</v>
      </c>
      <c r="F131" s="8">
        <v>-135.4333</v>
      </c>
      <c r="G131" s="9" t="s">
        <v>30</v>
      </c>
      <c r="H131" s="3" t="s">
        <v>31</v>
      </c>
      <c r="I131" s="3" t="s">
        <v>31</v>
      </c>
      <c r="J131" s="3" t="s">
        <v>31</v>
      </c>
      <c r="K131" s="7" t="s">
        <v>52</v>
      </c>
      <c r="L131" s="27">
        <v>10</v>
      </c>
      <c r="M131" s="27">
        <v>5</v>
      </c>
      <c r="N131" s="9">
        <f t="shared" si="10"/>
        <v>5</v>
      </c>
      <c r="O131" s="9"/>
      <c r="P131" s="9"/>
      <c r="Q131" s="25"/>
      <c r="R131" s="11">
        <v>0</v>
      </c>
      <c r="S131" s="1">
        <v>0.15</v>
      </c>
      <c r="T131" s="1">
        <f t="shared" si="11"/>
        <v>0.15</v>
      </c>
      <c r="U131" s="12">
        <v>0</v>
      </c>
      <c r="V131" s="13">
        <v>54.753505000000004</v>
      </c>
      <c r="W131" s="14">
        <f t="shared" ref="W131:W194" si="12">T131*V131/100*N131*100*100*((100-U131)/100)</f>
        <v>4106.5128750000003</v>
      </c>
      <c r="X131" s="25"/>
      <c r="Y131" s="14">
        <f t="shared" si="9"/>
        <v>4106.5128750000003</v>
      </c>
      <c r="Z131" s="3"/>
      <c r="AA131" s="3"/>
      <c r="AB131" s="5"/>
      <c r="AC131" s="1"/>
      <c r="AD131" s="28"/>
      <c r="AE131" s="28"/>
      <c r="AF131" s="3"/>
      <c r="AG131" s="7"/>
      <c r="AH131" s="7"/>
      <c r="AI131" s="3" t="s">
        <v>59</v>
      </c>
      <c r="AJ131" s="7" t="s">
        <v>76</v>
      </c>
      <c r="AK131" s="3"/>
      <c r="AL131" cm="1">
        <f t="array" ref="AL131">IF(getColor(V131) = 16777215, 0, 1)</f>
        <v>0</v>
      </c>
    </row>
    <row r="132" spans="1:38">
      <c r="A132" s="1">
        <v>131</v>
      </c>
      <c r="B132" s="3" t="s">
        <v>27</v>
      </c>
      <c r="C132" s="7" t="s">
        <v>130</v>
      </c>
      <c r="D132" s="7" t="s">
        <v>131</v>
      </c>
      <c r="E132" s="8">
        <v>57.7333</v>
      </c>
      <c r="F132" s="8">
        <v>-135.4333</v>
      </c>
      <c r="G132" s="9" t="s">
        <v>30</v>
      </c>
      <c r="H132" s="3" t="s">
        <v>31</v>
      </c>
      <c r="I132" s="3" t="s">
        <v>31</v>
      </c>
      <c r="J132" s="3" t="s">
        <v>31</v>
      </c>
      <c r="K132" s="7" t="s">
        <v>132</v>
      </c>
      <c r="L132" s="9">
        <v>5</v>
      </c>
      <c r="M132" s="9">
        <v>0</v>
      </c>
      <c r="N132" s="9">
        <f t="shared" si="10"/>
        <v>5</v>
      </c>
      <c r="O132" s="9"/>
      <c r="P132" s="9"/>
      <c r="Q132" s="25"/>
      <c r="R132" s="11">
        <v>0</v>
      </c>
      <c r="S132" s="1">
        <v>0.15</v>
      </c>
      <c r="T132" s="1">
        <f t="shared" si="11"/>
        <v>0.15</v>
      </c>
      <c r="U132" s="12">
        <v>0</v>
      </c>
      <c r="V132" s="13">
        <v>46.932955</v>
      </c>
      <c r="W132" s="14">
        <f t="shared" si="12"/>
        <v>3519.9716250000001</v>
      </c>
      <c r="X132" s="25"/>
      <c r="Y132" s="14">
        <f t="shared" si="9"/>
        <v>3519.9716250000001</v>
      </c>
      <c r="Z132" s="3"/>
      <c r="AA132" s="3"/>
      <c r="AB132" s="5"/>
      <c r="AC132" s="1"/>
      <c r="AD132" s="28"/>
      <c r="AE132" s="28"/>
      <c r="AF132" s="3"/>
      <c r="AG132" s="7"/>
      <c r="AH132" s="7"/>
      <c r="AI132" s="3" t="s">
        <v>59</v>
      </c>
      <c r="AJ132" s="7" t="s">
        <v>133</v>
      </c>
      <c r="AK132" s="3"/>
      <c r="AL132" cm="1">
        <f t="array" ref="AL132">IF(getColor(V132) = 16777215, 0, 1)</f>
        <v>0</v>
      </c>
    </row>
    <row r="133" spans="1:38">
      <c r="A133" s="1">
        <v>132</v>
      </c>
      <c r="B133" s="3" t="s">
        <v>27</v>
      </c>
      <c r="C133" s="7" t="s">
        <v>130</v>
      </c>
      <c r="D133" s="7" t="s">
        <v>131</v>
      </c>
      <c r="E133" s="8">
        <v>57.7333</v>
      </c>
      <c r="F133" s="8">
        <v>-135.4333</v>
      </c>
      <c r="G133" s="9" t="s">
        <v>30</v>
      </c>
      <c r="H133" s="3" t="s">
        <v>31</v>
      </c>
      <c r="I133" s="3" t="s">
        <v>31</v>
      </c>
      <c r="J133" s="3" t="s">
        <v>31</v>
      </c>
      <c r="K133" s="7" t="s">
        <v>47</v>
      </c>
      <c r="L133" s="9">
        <v>0</v>
      </c>
      <c r="M133" s="9">
        <v>3</v>
      </c>
      <c r="N133" s="9">
        <f t="shared" si="10"/>
        <v>3</v>
      </c>
      <c r="O133" s="9"/>
      <c r="P133" s="9"/>
      <c r="Q133" s="25"/>
      <c r="R133" s="11">
        <v>0</v>
      </c>
      <c r="S133" s="1">
        <v>0.93</v>
      </c>
      <c r="T133" s="1">
        <f t="shared" si="11"/>
        <v>0.93</v>
      </c>
      <c r="U133" s="12">
        <v>1</v>
      </c>
      <c r="V133" s="13">
        <v>6.536435</v>
      </c>
      <c r="W133" s="14">
        <f t="shared" si="12"/>
        <v>1805.42871135</v>
      </c>
      <c r="X133" s="25"/>
      <c r="Y133" s="14">
        <f t="shared" si="9"/>
        <v>1805.42871135</v>
      </c>
      <c r="Z133" s="3"/>
      <c r="AA133" s="3"/>
      <c r="AB133" s="5"/>
      <c r="AC133" s="1"/>
      <c r="AD133" s="28"/>
      <c r="AE133" s="28"/>
      <c r="AF133" s="3"/>
      <c r="AG133" s="7"/>
      <c r="AH133" s="7"/>
      <c r="AI133" s="3" t="s">
        <v>59</v>
      </c>
      <c r="AJ133" s="7" t="s">
        <v>47</v>
      </c>
      <c r="AK133" s="3"/>
      <c r="AL133" cm="1">
        <f t="array" ref="AL133">IF(getColor(V133) = 16777215, 0, 1)</f>
        <v>0</v>
      </c>
    </row>
    <row r="134" spans="1:38">
      <c r="A134" s="1">
        <v>133</v>
      </c>
      <c r="B134" s="3" t="s">
        <v>27</v>
      </c>
      <c r="C134" s="7" t="s">
        <v>130</v>
      </c>
      <c r="D134" s="7" t="s">
        <v>131</v>
      </c>
      <c r="E134" s="8">
        <v>57.7333</v>
      </c>
      <c r="F134" s="8">
        <v>-135.4333</v>
      </c>
      <c r="G134" s="9" t="s">
        <v>30</v>
      </c>
      <c r="H134" s="3" t="s">
        <v>31</v>
      </c>
      <c r="I134" s="3" t="s">
        <v>31</v>
      </c>
      <c r="J134" s="3" t="s">
        <v>31</v>
      </c>
      <c r="K134" s="7" t="s">
        <v>68</v>
      </c>
      <c r="L134" s="9">
        <v>3</v>
      </c>
      <c r="M134" s="9">
        <v>10</v>
      </c>
      <c r="N134" s="9">
        <f t="shared" si="10"/>
        <v>7</v>
      </c>
      <c r="O134" s="9"/>
      <c r="P134" s="9"/>
      <c r="Q134" s="25"/>
      <c r="R134" s="11">
        <v>0</v>
      </c>
      <c r="S134" s="1">
        <v>0.86</v>
      </c>
      <c r="T134" s="1">
        <f t="shared" si="11"/>
        <v>0.86</v>
      </c>
      <c r="U134" s="12">
        <v>5</v>
      </c>
      <c r="V134" s="13">
        <v>18.750010000000003</v>
      </c>
      <c r="W134" s="14">
        <f t="shared" si="12"/>
        <v>10723.130719000003</v>
      </c>
      <c r="X134" s="25"/>
      <c r="Y134" s="14">
        <f t="shared" si="9"/>
        <v>10723.130719000003</v>
      </c>
      <c r="Z134" s="3"/>
      <c r="AA134" s="3"/>
      <c r="AB134" s="5"/>
      <c r="AC134" s="1"/>
      <c r="AD134" s="28"/>
      <c r="AE134" s="28"/>
      <c r="AF134" s="3"/>
      <c r="AG134" s="7"/>
      <c r="AH134" s="7"/>
      <c r="AI134" s="3" t="s">
        <v>59</v>
      </c>
      <c r="AJ134" s="7" t="s">
        <v>68</v>
      </c>
      <c r="AK134" s="3"/>
      <c r="AL134" cm="1">
        <f t="array" ref="AL134">IF(getColor(V134) = 16777215, 0, 1)</f>
        <v>0</v>
      </c>
    </row>
    <row r="135" spans="1:38">
      <c r="A135" s="1">
        <v>134</v>
      </c>
      <c r="B135" s="3" t="s">
        <v>27</v>
      </c>
      <c r="C135" s="7" t="s">
        <v>130</v>
      </c>
      <c r="D135" s="7" t="s">
        <v>131</v>
      </c>
      <c r="E135" s="8">
        <v>57.7333</v>
      </c>
      <c r="F135" s="8">
        <v>-135.4333</v>
      </c>
      <c r="G135" s="9" t="s">
        <v>30</v>
      </c>
      <c r="H135" s="3" t="s">
        <v>31</v>
      </c>
      <c r="I135" s="3" t="s">
        <v>31</v>
      </c>
      <c r="J135" s="3" t="s">
        <v>31</v>
      </c>
      <c r="K135" s="7" t="s">
        <v>77</v>
      </c>
      <c r="L135" s="9">
        <v>10</v>
      </c>
      <c r="M135" s="9">
        <v>28</v>
      </c>
      <c r="N135" s="9">
        <f t="shared" si="10"/>
        <v>18</v>
      </c>
      <c r="O135" s="9"/>
      <c r="P135" s="9"/>
      <c r="Q135" s="25"/>
      <c r="R135" s="11">
        <v>0</v>
      </c>
      <c r="S135" s="1">
        <v>0.86</v>
      </c>
      <c r="T135" s="1">
        <f t="shared" si="11"/>
        <v>0.86</v>
      </c>
      <c r="U135" s="12">
        <v>20</v>
      </c>
      <c r="V135" s="13">
        <v>11.402555000000001</v>
      </c>
      <c r="W135" s="14">
        <f t="shared" si="12"/>
        <v>14120.924112000001</v>
      </c>
      <c r="X135" s="25"/>
      <c r="Y135" s="14">
        <f t="shared" si="9"/>
        <v>14120.924112000001</v>
      </c>
      <c r="Z135" s="3"/>
      <c r="AA135" s="3"/>
      <c r="AB135" s="5"/>
      <c r="AC135" s="1"/>
      <c r="AD135" s="28"/>
      <c r="AE135" s="32"/>
      <c r="AF135" s="3"/>
      <c r="AG135" s="7"/>
      <c r="AH135" s="7"/>
      <c r="AI135" s="3" t="s">
        <v>59</v>
      </c>
      <c r="AJ135" s="7" t="s">
        <v>78</v>
      </c>
      <c r="AK135" s="3"/>
      <c r="AL135" cm="1">
        <f t="array" ref="AL135">IF(getColor(V135) = 16777215, 0, 1)</f>
        <v>0</v>
      </c>
    </row>
    <row r="136" spans="1:38">
      <c r="A136" s="1">
        <v>135</v>
      </c>
      <c r="B136" s="3" t="s">
        <v>27</v>
      </c>
      <c r="C136" s="7" t="s">
        <v>130</v>
      </c>
      <c r="D136" s="7" t="s">
        <v>131</v>
      </c>
      <c r="E136" s="8">
        <v>57.7333</v>
      </c>
      <c r="F136" s="8">
        <v>-135.4333</v>
      </c>
      <c r="G136" s="9" t="s">
        <v>30</v>
      </c>
      <c r="H136" s="3" t="s">
        <v>31</v>
      </c>
      <c r="I136" s="3" t="s">
        <v>31</v>
      </c>
      <c r="J136" s="3" t="s">
        <v>31</v>
      </c>
      <c r="K136" s="7" t="s">
        <v>79</v>
      </c>
      <c r="L136" s="9">
        <v>28</v>
      </c>
      <c r="M136" s="9">
        <v>36</v>
      </c>
      <c r="N136" s="9">
        <f t="shared" si="10"/>
        <v>8</v>
      </c>
      <c r="O136" s="9"/>
      <c r="P136" s="9"/>
      <c r="Q136" s="25"/>
      <c r="R136" s="11">
        <v>0</v>
      </c>
      <c r="S136" s="1">
        <v>1.71</v>
      </c>
      <c r="T136" s="1">
        <f t="shared" si="11"/>
        <v>1.71</v>
      </c>
      <c r="U136" s="12">
        <v>26</v>
      </c>
      <c r="V136" s="13">
        <v>1.17791</v>
      </c>
      <c r="W136" s="14">
        <f t="shared" si="12"/>
        <v>1192.4218512</v>
      </c>
      <c r="X136" s="25"/>
      <c r="Y136" s="14">
        <f t="shared" si="9"/>
        <v>1192.4218512</v>
      </c>
      <c r="Z136" s="3"/>
      <c r="AA136" s="3"/>
      <c r="AB136" s="5"/>
      <c r="AC136" s="1"/>
      <c r="AD136" s="28"/>
      <c r="AE136" s="32"/>
      <c r="AF136" s="3"/>
      <c r="AG136" s="7"/>
      <c r="AH136" s="7"/>
      <c r="AI136" s="3" t="s">
        <v>59</v>
      </c>
      <c r="AJ136" s="7" t="s">
        <v>79</v>
      </c>
      <c r="AK136" s="3"/>
      <c r="AL136" cm="1">
        <f t="array" ref="AL136">IF(getColor(V136) = 16777215, 0, 1)</f>
        <v>0</v>
      </c>
    </row>
    <row r="137" spans="1:38">
      <c r="A137" s="1">
        <v>136</v>
      </c>
      <c r="B137" s="3" t="s">
        <v>27</v>
      </c>
      <c r="C137" s="7" t="s">
        <v>130</v>
      </c>
      <c r="D137" s="7" t="s">
        <v>131</v>
      </c>
      <c r="E137" s="8">
        <v>57.7333</v>
      </c>
      <c r="F137" s="8">
        <v>-135.4333</v>
      </c>
      <c r="G137" s="9" t="s">
        <v>30</v>
      </c>
      <c r="H137" s="3" t="s">
        <v>31</v>
      </c>
      <c r="I137" s="3" t="s">
        <v>31</v>
      </c>
      <c r="J137" s="3" t="s">
        <v>31</v>
      </c>
      <c r="K137" s="7" t="s">
        <v>44</v>
      </c>
      <c r="L137" s="9">
        <v>36</v>
      </c>
      <c r="M137" s="9">
        <v>58</v>
      </c>
      <c r="N137" s="9">
        <f t="shared" si="10"/>
        <v>22</v>
      </c>
      <c r="O137" s="9"/>
      <c r="P137" s="9"/>
      <c r="Q137" s="25"/>
      <c r="R137" s="11">
        <v>0</v>
      </c>
      <c r="S137" s="1">
        <v>1.74</v>
      </c>
      <c r="T137" s="1">
        <f t="shared" si="11"/>
        <v>1.74</v>
      </c>
      <c r="U137" s="12">
        <v>34</v>
      </c>
      <c r="V137" s="13">
        <v>0.84964000000000006</v>
      </c>
      <c r="W137" s="14">
        <f t="shared" si="12"/>
        <v>2146.5984672</v>
      </c>
      <c r="X137" s="25"/>
      <c r="Y137" s="14">
        <f t="shared" si="9"/>
        <v>2146.5984672</v>
      </c>
      <c r="Z137" s="3"/>
      <c r="AA137" s="3"/>
      <c r="AB137" s="5"/>
      <c r="AC137" s="1"/>
      <c r="AD137" s="28"/>
      <c r="AE137" s="32"/>
      <c r="AF137" s="3"/>
      <c r="AG137" s="7"/>
      <c r="AH137" s="7"/>
      <c r="AI137" s="3" t="s">
        <v>59</v>
      </c>
      <c r="AJ137" s="7" t="s">
        <v>44</v>
      </c>
      <c r="AK137" s="3"/>
      <c r="AL137" cm="1">
        <f t="array" ref="AL137">IF(getColor(V137) = 16777215, 0, 1)</f>
        <v>0</v>
      </c>
    </row>
    <row r="138" spans="1:38">
      <c r="A138" s="1">
        <v>137</v>
      </c>
      <c r="B138" s="3" t="s">
        <v>27</v>
      </c>
      <c r="C138" s="7" t="s">
        <v>130</v>
      </c>
      <c r="D138" s="7" t="s">
        <v>131</v>
      </c>
      <c r="E138" s="8">
        <v>57.7333</v>
      </c>
      <c r="F138" s="8">
        <v>-135.4333</v>
      </c>
      <c r="G138" s="9" t="s">
        <v>30</v>
      </c>
      <c r="H138" s="3" t="s">
        <v>31</v>
      </c>
      <c r="I138" s="3" t="s">
        <v>31</v>
      </c>
      <c r="J138" s="3" t="s">
        <v>31</v>
      </c>
      <c r="K138" s="7" t="s">
        <v>134</v>
      </c>
      <c r="L138" s="9">
        <v>58</v>
      </c>
      <c r="M138" s="9">
        <v>76</v>
      </c>
      <c r="N138" s="9">
        <f t="shared" si="10"/>
        <v>18</v>
      </c>
      <c r="O138" s="9"/>
      <c r="P138" s="9"/>
      <c r="Q138" s="25"/>
      <c r="R138" s="11">
        <v>0</v>
      </c>
      <c r="S138" s="1">
        <v>1.74</v>
      </c>
      <c r="T138" s="1">
        <f t="shared" si="11"/>
        <v>1.74</v>
      </c>
      <c r="U138" s="12">
        <v>36</v>
      </c>
      <c r="V138" s="13">
        <v>0.37654500000000002</v>
      </c>
      <c r="W138" s="14">
        <f t="shared" si="12"/>
        <v>754.77692160000004</v>
      </c>
      <c r="X138" s="25"/>
      <c r="Y138" s="14">
        <f t="shared" si="9"/>
        <v>754.77692160000004</v>
      </c>
      <c r="Z138" s="3"/>
      <c r="AA138" s="3"/>
      <c r="AB138" s="5"/>
      <c r="AC138" s="1"/>
      <c r="AD138" s="28"/>
      <c r="AE138" s="32"/>
      <c r="AF138" s="3"/>
      <c r="AG138" s="7"/>
      <c r="AH138" s="7"/>
      <c r="AI138" s="3" t="s">
        <v>59</v>
      </c>
      <c r="AJ138" s="7" t="s">
        <v>134</v>
      </c>
      <c r="AK138" s="3"/>
      <c r="AL138" cm="1">
        <f t="array" ref="AL138">IF(getColor(V138) = 16777215, 0, 1)</f>
        <v>0</v>
      </c>
    </row>
    <row r="139" spans="1:38">
      <c r="A139" s="1">
        <v>138</v>
      </c>
      <c r="B139" s="3" t="s">
        <v>27</v>
      </c>
      <c r="C139" s="7" t="s">
        <v>135</v>
      </c>
      <c r="D139" s="7" t="s">
        <v>136</v>
      </c>
      <c r="E139" s="8">
        <v>57.783299999999997</v>
      </c>
      <c r="F139" s="8">
        <v>-134.0333</v>
      </c>
      <c r="G139" s="9" t="s">
        <v>30</v>
      </c>
      <c r="H139" s="3" t="s">
        <v>31</v>
      </c>
      <c r="I139" s="3" t="s">
        <v>31</v>
      </c>
      <c r="J139" s="3" t="s">
        <v>31</v>
      </c>
      <c r="K139" s="7" t="s">
        <v>49</v>
      </c>
      <c r="L139" s="9">
        <v>19</v>
      </c>
      <c r="M139" s="9">
        <v>8</v>
      </c>
      <c r="N139" s="9">
        <f t="shared" si="10"/>
        <v>11</v>
      </c>
      <c r="O139" s="29">
        <f>M142</f>
        <v>26</v>
      </c>
      <c r="P139" s="29">
        <f>L139</f>
        <v>19</v>
      </c>
      <c r="Q139" s="29">
        <f>P139+O139</f>
        <v>45</v>
      </c>
      <c r="R139" s="11">
        <v>0</v>
      </c>
      <c r="S139" s="1">
        <v>0.08</v>
      </c>
      <c r="T139" s="1">
        <f t="shared" si="11"/>
        <v>0.08</v>
      </c>
      <c r="U139" s="12">
        <v>0</v>
      </c>
      <c r="V139" s="13">
        <v>38.108285000000002</v>
      </c>
      <c r="W139" s="14">
        <f t="shared" si="12"/>
        <v>3353.5290799999998</v>
      </c>
      <c r="X139" s="14">
        <f>SUM(W139:W142)</f>
        <v>15804.165226000001</v>
      </c>
      <c r="Y139" s="14">
        <f t="shared" si="9"/>
        <v>3353.5290799999998</v>
      </c>
      <c r="Z139" s="15">
        <f>SUM(Y139:Y142)/10^6*10^4</f>
        <v>158.04165226000001</v>
      </c>
      <c r="AA139" s="33">
        <v>52.818666642718014</v>
      </c>
      <c r="AB139" s="5"/>
      <c r="AC139" s="1"/>
      <c r="AD139" s="28"/>
      <c r="AE139" s="32"/>
      <c r="AF139" s="3"/>
      <c r="AG139" s="7"/>
      <c r="AH139" s="7"/>
      <c r="AI139" s="3" t="s">
        <v>84</v>
      </c>
      <c r="AJ139" s="7" t="s">
        <v>60</v>
      </c>
      <c r="AK139" s="3"/>
      <c r="AL139" cm="1">
        <f t="array" ref="AL139">IF(getColor(V139) = 16777215, 0, 1)</f>
        <v>0</v>
      </c>
    </row>
    <row r="140" spans="1:38">
      <c r="A140" s="1">
        <v>139</v>
      </c>
      <c r="B140" s="3" t="s">
        <v>27</v>
      </c>
      <c r="C140" s="7" t="s">
        <v>135</v>
      </c>
      <c r="D140" s="7" t="s">
        <v>136</v>
      </c>
      <c r="E140" s="8">
        <v>57.783299999999997</v>
      </c>
      <c r="F140" s="8">
        <v>-134.0333</v>
      </c>
      <c r="G140" s="9" t="s">
        <v>30</v>
      </c>
      <c r="H140" s="3" t="s">
        <v>31</v>
      </c>
      <c r="I140" s="3" t="s">
        <v>31</v>
      </c>
      <c r="J140" s="3" t="s">
        <v>31</v>
      </c>
      <c r="K140" s="7" t="s">
        <v>52</v>
      </c>
      <c r="L140" s="9">
        <v>8</v>
      </c>
      <c r="M140" s="9">
        <v>0</v>
      </c>
      <c r="N140" s="9">
        <f t="shared" si="10"/>
        <v>8</v>
      </c>
      <c r="O140" s="9"/>
      <c r="P140" s="9"/>
      <c r="Q140" s="25"/>
      <c r="R140" s="11">
        <v>0</v>
      </c>
      <c r="S140" s="1">
        <v>0.15</v>
      </c>
      <c r="T140" s="1">
        <f t="shared" si="11"/>
        <v>0.15</v>
      </c>
      <c r="U140" s="12">
        <v>0</v>
      </c>
      <c r="V140" s="13">
        <v>35.906945</v>
      </c>
      <c r="W140" s="14">
        <f t="shared" si="12"/>
        <v>4308.8333999999995</v>
      </c>
      <c r="X140" s="25"/>
      <c r="Y140" s="14">
        <f t="shared" si="9"/>
        <v>4308.8333999999995</v>
      </c>
      <c r="Z140" s="3"/>
      <c r="AA140" s="3"/>
      <c r="AB140" s="5"/>
      <c r="AC140" s="1"/>
      <c r="AD140" s="28"/>
      <c r="AE140" s="28"/>
      <c r="AF140" s="3"/>
      <c r="AG140" s="7"/>
      <c r="AH140" s="7"/>
      <c r="AI140" s="3" t="s">
        <v>84</v>
      </c>
      <c r="AJ140" s="7" t="s">
        <v>76</v>
      </c>
      <c r="AK140" s="3"/>
      <c r="AL140" cm="1">
        <f t="array" ref="AL140">IF(getColor(V140) = 16777215, 0, 1)</f>
        <v>0</v>
      </c>
    </row>
    <row r="141" spans="1:38">
      <c r="A141" s="1">
        <v>140</v>
      </c>
      <c r="B141" s="3" t="s">
        <v>27</v>
      </c>
      <c r="C141" s="7" t="s">
        <v>135</v>
      </c>
      <c r="D141" s="7" t="s">
        <v>136</v>
      </c>
      <c r="E141" s="8">
        <v>57.783299999999997</v>
      </c>
      <c r="F141" s="8">
        <v>-134.0333</v>
      </c>
      <c r="G141" s="9" t="s">
        <v>30</v>
      </c>
      <c r="H141" s="3" t="s">
        <v>31</v>
      </c>
      <c r="I141" s="3" t="s">
        <v>31</v>
      </c>
      <c r="J141" s="3" t="s">
        <v>31</v>
      </c>
      <c r="K141" s="7" t="s">
        <v>44</v>
      </c>
      <c r="L141" s="9">
        <v>0</v>
      </c>
      <c r="M141" s="9">
        <v>6</v>
      </c>
      <c r="N141" s="9">
        <f t="shared" si="10"/>
        <v>6</v>
      </c>
      <c r="O141" s="9"/>
      <c r="P141" s="9"/>
      <c r="Q141" s="25"/>
      <c r="R141" s="11">
        <v>0</v>
      </c>
      <c r="S141" s="1">
        <v>1.1000000000000001</v>
      </c>
      <c r="T141" s="1">
        <f t="shared" si="11"/>
        <v>1.1000000000000001</v>
      </c>
      <c r="U141" s="12">
        <v>21</v>
      </c>
      <c r="V141" s="13">
        <v>5.9667899999999996</v>
      </c>
      <c r="W141" s="14">
        <f t="shared" si="12"/>
        <v>3111.0843060000011</v>
      </c>
      <c r="X141" s="25"/>
      <c r="Y141" s="14">
        <f t="shared" si="9"/>
        <v>3111.0843060000011</v>
      </c>
      <c r="Z141" s="3"/>
      <c r="AA141" s="3"/>
      <c r="AB141" s="5"/>
      <c r="AC141" s="1"/>
      <c r="AD141" s="28"/>
      <c r="AE141" s="28"/>
      <c r="AF141" s="3"/>
      <c r="AG141" s="7"/>
      <c r="AH141" s="7"/>
      <c r="AI141" s="3" t="s">
        <v>84</v>
      </c>
      <c r="AJ141" s="7" t="s">
        <v>44</v>
      </c>
      <c r="AK141" s="3"/>
      <c r="AL141" cm="1">
        <f t="array" ref="AL141">IF(getColor(V141) = 16777215, 0, 1)</f>
        <v>0</v>
      </c>
    </row>
    <row r="142" spans="1:38">
      <c r="A142" s="1">
        <v>141</v>
      </c>
      <c r="B142" s="3" t="s">
        <v>27</v>
      </c>
      <c r="C142" s="7" t="s">
        <v>135</v>
      </c>
      <c r="D142" s="7" t="s">
        <v>136</v>
      </c>
      <c r="E142" s="8">
        <v>57.783299999999997</v>
      </c>
      <c r="F142" s="8">
        <v>-134.0333</v>
      </c>
      <c r="G142" s="9" t="s">
        <v>30</v>
      </c>
      <c r="H142" s="3" t="s">
        <v>31</v>
      </c>
      <c r="I142" s="3" t="s">
        <v>31</v>
      </c>
      <c r="J142" s="3" t="s">
        <v>31</v>
      </c>
      <c r="K142" s="7" t="s">
        <v>137</v>
      </c>
      <c r="L142" s="9">
        <v>6</v>
      </c>
      <c r="M142" s="9">
        <v>26</v>
      </c>
      <c r="N142" s="9">
        <f t="shared" si="10"/>
        <v>20</v>
      </c>
      <c r="O142" s="9"/>
      <c r="P142" s="9"/>
      <c r="Q142" s="25"/>
      <c r="R142" s="11">
        <v>0</v>
      </c>
      <c r="S142" s="1">
        <v>1.1000000000000001</v>
      </c>
      <c r="T142" s="1">
        <f t="shared" si="11"/>
        <v>1.1000000000000001</v>
      </c>
      <c r="U142" s="12">
        <v>38</v>
      </c>
      <c r="V142" s="13">
        <v>3.6882099999999998</v>
      </c>
      <c r="W142" s="14">
        <f t="shared" si="12"/>
        <v>5030.7184400000015</v>
      </c>
      <c r="X142" s="25"/>
      <c r="Y142" s="14">
        <f t="shared" si="9"/>
        <v>5030.7184400000015</v>
      </c>
      <c r="Z142" s="3"/>
      <c r="AA142" s="3"/>
      <c r="AB142" s="5"/>
      <c r="AC142" s="1"/>
      <c r="AD142" s="28"/>
      <c r="AE142" s="28"/>
      <c r="AF142" s="3"/>
      <c r="AG142" s="7"/>
      <c r="AH142" s="7"/>
      <c r="AI142" s="3" t="s">
        <v>84</v>
      </c>
      <c r="AJ142" s="7" t="s">
        <v>137</v>
      </c>
      <c r="AK142" s="3"/>
      <c r="AL142" cm="1">
        <f t="array" ref="AL142">IF(getColor(V142) = 16777215, 0, 1)</f>
        <v>0</v>
      </c>
    </row>
    <row r="143" spans="1:38">
      <c r="A143" s="1">
        <v>142</v>
      </c>
      <c r="B143" s="3" t="s">
        <v>27</v>
      </c>
      <c r="C143" s="7" t="s">
        <v>138</v>
      </c>
      <c r="D143" s="7" t="s">
        <v>139</v>
      </c>
      <c r="E143" s="8">
        <v>57.783299999999997</v>
      </c>
      <c r="F143" s="8">
        <v>-134.0333</v>
      </c>
      <c r="G143" s="9" t="s">
        <v>30</v>
      </c>
      <c r="H143" s="3" t="s">
        <v>31</v>
      </c>
      <c r="I143" s="3" t="s">
        <v>31</v>
      </c>
      <c r="J143" s="3" t="s">
        <v>31</v>
      </c>
      <c r="K143" s="7" t="s">
        <v>49</v>
      </c>
      <c r="L143" s="9">
        <v>18</v>
      </c>
      <c r="M143" s="9">
        <v>4</v>
      </c>
      <c r="N143" s="9">
        <f t="shared" si="10"/>
        <v>14</v>
      </c>
      <c r="O143" s="29">
        <f>M146</f>
        <v>18</v>
      </c>
      <c r="P143" s="29">
        <f>L143</f>
        <v>18</v>
      </c>
      <c r="Q143" s="29">
        <f>P143+O143</f>
        <v>36</v>
      </c>
      <c r="R143" s="11">
        <v>0</v>
      </c>
      <c r="S143" s="1">
        <v>0.08</v>
      </c>
      <c r="T143" s="1">
        <f t="shared" si="11"/>
        <v>0.08</v>
      </c>
      <c r="U143" s="12">
        <v>0</v>
      </c>
      <c r="V143" s="13">
        <v>33.121926000000002</v>
      </c>
      <c r="W143" s="14">
        <f t="shared" si="12"/>
        <v>3709.6557119999998</v>
      </c>
      <c r="X143" s="14">
        <f>SUM(W143:W146)</f>
        <v>7313.5121827000003</v>
      </c>
      <c r="Y143" s="14">
        <f t="shared" si="9"/>
        <v>3709.6557119999998</v>
      </c>
      <c r="Z143" s="15">
        <f>SUM(Y143:Y146)/10^6*10^4</f>
        <v>73.135121827000006</v>
      </c>
      <c r="AA143" s="33">
        <v>40.72593756781216</v>
      </c>
      <c r="AB143" s="5"/>
      <c r="AC143" s="1"/>
      <c r="AD143" s="28"/>
      <c r="AE143" s="28"/>
      <c r="AF143" s="3"/>
      <c r="AG143" s="7"/>
      <c r="AH143" s="7"/>
      <c r="AI143" s="3" t="s">
        <v>84</v>
      </c>
      <c r="AJ143" s="7" t="s">
        <v>60</v>
      </c>
      <c r="AK143" s="3"/>
      <c r="AL143" cm="1">
        <f t="array" ref="AL143">IF(getColor(V143) = 16777215, 0, 1)</f>
        <v>0</v>
      </c>
    </row>
    <row r="144" spans="1:38">
      <c r="A144" s="1">
        <v>143</v>
      </c>
      <c r="B144" s="3" t="s">
        <v>27</v>
      </c>
      <c r="C144" s="7" t="s">
        <v>138</v>
      </c>
      <c r="D144" s="7" t="s">
        <v>139</v>
      </c>
      <c r="E144" s="8">
        <v>57.783299999999997</v>
      </c>
      <c r="F144" s="8">
        <v>-134.0333</v>
      </c>
      <c r="G144" s="9" t="s">
        <v>30</v>
      </c>
      <c r="H144" s="3" t="s">
        <v>31</v>
      </c>
      <c r="I144" s="3" t="s">
        <v>31</v>
      </c>
      <c r="J144" s="3" t="s">
        <v>31</v>
      </c>
      <c r="K144" s="7" t="s">
        <v>52</v>
      </c>
      <c r="L144" s="9">
        <v>4</v>
      </c>
      <c r="M144" s="9">
        <v>0</v>
      </c>
      <c r="N144" s="9">
        <f t="shared" si="10"/>
        <v>4</v>
      </c>
      <c r="O144" s="9"/>
      <c r="P144" s="9"/>
      <c r="Q144" s="25"/>
      <c r="R144" s="11">
        <v>0</v>
      </c>
      <c r="S144" s="1">
        <v>0.15</v>
      </c>
      <c r="T144" s="1">
        <f t="shared" si="11"/>
        <v>0.15</v>
      </c>
      <c r="U144" s="12">
        <v>0</v>
      </c>
      <c r="V144" s="13">
        <v>28.992484000000001</v>
      </c>
      <c r="W144" s="14">
        <f t="shared" si="12"/>
        <v>1739.5490399999999</v>
      </c>
      <c r="X144" s="25"/>
      <c r="Y144" s="14">
        <f t="shared" si="9"/>
        <v>1739.5490399999999</v>
      </c>
      <c r="Z144" s="3"/>
      <c r="AA144" s="3"/>
      <c r="AB144" s="5"/>
      <c r="AC144" s="1"/>
      <c r="AD144" s="28"/>
      <c r="AE144" s="28"/>
      <c r="AF144" s="3"/>
      <c r="AG144" s="7"/>
      <c r="AH144" s="7"/>
      <c r="AI144" s="3" t="s">
        <v>84</v>
      </c>
      <c r="AJ144" s="7" t="s">
        <v>76</v>
      </c>
      <c r="AK144" s="3"/>
      <c r="AL144" cm="1">
        <f t="array" ref="AL144">IF(getColor(V144) = 16777215, 0, 1)</f>
        <v>0</v>
      </c>
    </row>
    <row r="145" spans="1:38">
      <c r="A145" s="1">
        <v>144</v>
      </c>
      <c r="B145" s="3" t="s">
        <v>27</v>
      </c>
      <c r="C145" s="7" t="s">
        <v>138</v>
      </c>
      <c r="D145" s="7" t="s">
        <v>139</v>
      </c>
      <c r="E145" s="8">
        <v>57.783299999999997</v>
      </c>
      <c r="F145" s="8">
        <v>-134.0333</v>
      </c>
      <c r="G145" s="9" t="s">
        <v>30</v>
      </c>
      <c r="H145" s="3" t="s">
        <v>31</v>
      </c>
      <c r="I145" s="3" t="s">
        <v>31</v>
      </c>
      <c r="J145" s="3" t="s">
        <v>31</v>
      </c>
      <c r="K145" s="7" t="s">
        <v>44</v>
      </c>
      <c r="L145" s="9">
        <v>0</v>
      </c>
      <c r="M145" s="9">
        <v>11</v>
      </c>
      <c r="N145" s="9">
        <f t="shared" si="10"/>
        <v>11</v>
      </c>
      <c r="O145" s="9"/>
      <c r="P145" s="9"/>
      <c r="Q145" s="25"/>
      <c r="R145" s="11">
        <v>0</v>
      </c>
      <c r="S145" s="1">
        <v>1.1000000000000001</v>
      </c>
      <c r="T145" s="1">
        <f t="shared" si="11"/>
        <v>1.1000000000000001</v>
      </c>
      <c r="U145" s="12">
        <v>20</v>
      </c>
      <c r="V145" s="13">
        <v>1.2958499999999999</v>
      </c>
      <c r="W145" s="14">
        <f t="shared" si="12"/>
        <v>1254.3828000000003</v>
      </c>
      <c r="X145" s="25"/>
      <c r="Y145" s="14">
        <f t="shared" si="9"/>
        <v>1254.3828000000003</v>
      </c>
      <c r="Z145" s="3"/>
      <c r="AA145" s="3"/>
      <c r="AB145" s="5"/>
      <c r="AC145" s="1"/>
      <c r="AD145" s="28"/>
      <c r="AE145" s="28"/>
      <c r="AF145" s="3"/>
      <c r="AG145" s="7"/>
      <c r="AH145" s="7"/>
      <c r="AI145" s="3" t="s">
        <v>84</v>
      </c>
      <c r="AJ145" s="7" t="s">
        <v>44</v>
      </c>
      <c r="AK145" s="3"/>
      <c r="AL145" cm="1">
        <f t="array" ref="AL145">IF(getColor(V145) = 16777215, 0, 1)</f>
        <v>0</v>
      </c>
    </row>
    <row r="146" spans="1:38">
      <c r="A146" s="1">
        <v>145</v>
      </c>
      <c r="B146" s="3" t="s">
        <v>27</v>
      </c>
      <c r="C146" s="7" t="s">
        <v>138</v>
      </c>
      <c r="D146" s="7" t="s">
        <v>139</v>
      </c>
      <c r="E146" s="8">
        <v>57.783299999999997</v>
      </c>
      <c r="F146" s="8">
        <v>-134.0333</v>
      </c>
      <c r="G146" s="9" t="s">
        <v>30</v>
      </c>
      <c r="H146" s="3" t="s">
        <v>31</v>
      </c>
      <c r="I146" s="3" t="s">
        <v>31</v>
      </c>
      <c r="J146" s="3" t="s">
        <v>31</v>
      </c>
      <c r="K146" s="7" t="s">
        <v>137</v>
      </c>
      <c r="L146" s="9">
        <v>11</v>
      </c>
      <c r="M146" s="9">
        <v>18</v>
      </c>
      <c r="N146" s="9">
        <f t="shared" si="10"/>
        <v>7</v>
      </c>
      <c r="O146" s="9"/>
      <c r="P146" s="9"/>
      <c r="Q146" s="25"/>
      <c r="R146" s="11">
        <v>0</v>
      </c>
      <c r="S146" s="1">
        <v>1.1000000000000001</v>
      </c>
      <c r="T146" s="1">
        <f t="shared" si="11"/>
        <v>1.1000000000000001</v>
      </c>
      <c r="U146" s="12">
        <v>47</v>
      </c>
      <c r="V146" s="13">
        <v>1.4945470000000001</v>
      </c>
      <c r="W146" s="14">
        <f t="shared" si="12"/>
        <v>609.92463070000008</v>
      </c>
      <c r="X146" s="25"/>
      <c r="Y146" s="14">
        <f t="shared" si="9"/>
        <v>609.92463070000008</v>
      </c>
      <c r="Z146" s="3"/>
      <c r="AA146" s="3"/>
      <c r="AB146" s="5"/>
      <c r="AC146" s="1"/>
      <c r="AD146" s="28"/>
      <c r="AE146" s="28"/>
      <c r="AF146" s="3"/>
      <c r="AG146" s="7"/>
      <c r="AH146" s="7"/>
      <c r="AI146" s="3" t="s">
        <v>84</v>
      </c>
      <c r="AJ146" s="7" t="s">
        <v>137</v>
      </c>
      <c r="AK146" s="3"/>
      <c r="AL146" cm="1">
        <f t="array" ref="AL146">IF(getColor(V146) = 16777215, 0, 1)</f>
        <v>0</v>
      </c>
    </row>
    <row r="147" spans="1:38">
      <c r="A147" s="1">
        <v>146</v>
      </c>
      <c r="B147" s="3" t="s">
        <v>27</v>
      </c>
      <c r="C147" s="7" t="s">
        <v>140</v>
      </c>
      <c r="D147" s="7" t="s">
        <v>141</v>
      </c>
      <c r="E147" s="8">
        <v>57.866599999999998</v>
      </c>
      <c r="F147" s="8">
        <v>-134.1</v>
      </c>
      <c r="G147" s="9" t="s">
        <v>30</v>
      </c>
      <c r="H147" s="3" t="s">
        <v>31</v>
      </c>
      <c r="I147" s="3" t="s">
        <v>31</v>
      </c>
      <c r="J147" s="3" t="s">
        <v>31</v>
      </c>
      <c r="K147" s="7" t="s">
        <v>49</v>
      </c>
      <c r="L147" s="9">
        <v>26</v>
      </c>
      <c r="M147" s="9">
        <v>18</v>
      </c>
      <c r="N147" s="9">
        <f t="shared" si="10"/>
        <v>8</v>
      </c>
      <c r="O147" s="29">
        <f>M154</f>
        <v>91</v>
      </c>
      <c r="P147" s="29">
        <f>L147</f>
        <v>26</v>
      </c>
      <c r="Q147" s="29">
        <f>P147+O147</f>
        <v>117</v>
      </c>
      <c r="R147" s="11">
        <v>0</v>
      </c>
      <c r="S147" s="1">
        <v>0.08</v>
      </c>
      <c r="T147" s="1">
        <f t="shared" si="11"/>
        <v>0.08</v>
      </c>
      <c r="U147" s="12">
        <v>0</v>
      </c>
      <c r="V147" s="13">
        <v>41.352364999999999</v>
      </c>
      <c r="W147" s="14">
        <f t="shared" si="12"/>
        <v>2646.5513599999999</v>
      </c>
      <c r="X147" s="14">
        <f>SUM(W147:W154)</f>
        <v>26265.908733916673</v>
      </c>
      <c r="Y147" s="14">
        <f t="shared" si="9"/>
        <v>2646.5513599999999</v>
      </c>
      <c r="Z147" s="15">
        <f>SUM(Y147:Y154)/10^6*10^4</f>
        <v>262.65908733916672</v>
      </c>
      <c r="AA147" s="16">
        <v>41.528534978862588</v>
      </c>
      <c r="AB147" s="5"/>
      <c r="AC147" s="1"/>
      <c r="AD147" s="28"/>
      <c r="AE147" s="28"/>
      <c r="AF147" s="3"/>
      <c r="AG147" s="7"/>
      <c r="AH147" s="7"/>
      <c r="AI147" s="3" t="s">
        <v>75</v>
      </c>
      <c r="AJ147" s="7" t="s">
        <v>60</v>
      </c>
      <c r="AK147" s="3"/>
      <c r="AL147" cm="1">
        <f t="array" ref="AL147">IF(getColor(V147) = 16777215, 0, 1)</f>
        <v>0</v>
      </c>
    </row>
    <row r="148" spans="1:38">
      <c r="A148" s="1">
        <v>147</v>
      </c>
      <c r="B148" s="3" t="s">
        <v>27</v>
      </c>
      <c r="C148" s="7" t="s">
        <v>140</v>
      </c>
      <c r="D148" s="7" t="s">
        <v>141</v>
      </c>
      <c r="E148" s="8">
        <v>57.866599999999998</v>
      </c>
      <c r="F148" s="8">
        <v>-134.1</v>
      </c>
      <c r="G148" s="9" t="s">
        <v>30</v>
      </c>
      <c r="H148" s="3" t="s">
        <v>31</v>
      </c>
      <c r="I148" s="3" t="s">
        <v>31</v>
      </c>
      <c r="J148" s="3" t="s">
        <v>31</v>
      </c>
      <c r="K148" s="34" t="s">
        <v>142</v>
      </c>
      <c r="L148" s="27">
        <v>18</v>
      </c>
      <c r="M148" s="27">
        <v>4</v>
      </c>
      <c r="N148" s="9">
        <f t="shared" si="10"/>
        <v>14</v>
      </c>
      <c r="O148" s="9"/>
      <c r="P148" s="9"/>
      <c r="Q148" s="25"/>
      <c r="R148" s="11">
        <v>0</v>
      </c>
      <c r="S148" s="1">
        <v>0.08</v>
      </c>
      <c r="T148" s="1">
        <f t="shared" si="11"/>
        <v>0.08</v>
      </c>
      <c r="U148" s="12">
        <v>0</v>
      </c>
      <c r="V148" s="31">
        <v>36.66627891666667</v>
      </c>
      <c r="W148" s="14">
        <f t="shared" si="12"/>
        <v>4106.6232386666679</v>
      </c>
      <c r="X148" s="25"/>
      <c r="Y148" s="14">
        <f t="shared" si="9"/>
        <v>4106.6232386666679</v>
      </c>
      <c r="Z148" s="3"/>
      <c r="AA148" s="3"/>
      <c r="AB148" s="5"/>
      <c r="AC148" s="5"/>
      <c r="AD148" s="28"/>
      <c r="AE148" s="28"/>
      <c r="AF148" s="3"/>
      <c r="AG148" s="7"/>
      <c r="AH148" s="34"/>
      <c r="AI148" s="3" t="s">
        <v>75</v>
      </c>
      <c r="AJ148" s="34" t="s">
        <v>143</v>
      </c>
      <c r="AK148" s="3"/>
      <c r="AL148" cm="1">
        <f t="array" ref="AL148">IF(getColor(V148) = 16777215, 0, 1)</f>
        <v>1</v>
      </c>
    </row>
    <row r="149" spans="1:38">
      <c r="A149" s="1">
        <v>148</v>
      </c>
      <c r="B149" s="3" t="s">
        <v>27</v>
      </c>
      <c r="C149" s="7" t="s">
        <v>140</v>
      </c>
      <c r="D149" s="7" t="s">
        <v>141</v>
      </c>
      <c r="E149" s="8">
        <v>57.866599999999998</v>
      </c>
      <c r="F149" s="8">
        <v>-134.1</v>
      </c>
      <c r="G149" s="9" t="s">
        <v>30</v>
      </c>
      <c r="H149" s="3" t="s">
        <v>31</v>
      </c>
      <c r="I149" s="3" t="s">
        <v>31</v>
      </c>
      <c r="J149" s="3" t="s">
        <v>31</v>
      </c>
      <c r="K149" s="7" t="s">
        <v>51</v>
      </c>
      <c r="L149" s="9">
        <v>4</v>
      </c>
      <c r="M149" s="9">
        <v>0</v>
      </c>
      <c r="N149" s="9">
        <f t="shared" si="10"/>
        <v>4</v>
      </c>
      <c r="O149" s="9"/>
      <c r="P149" s="9"/>
      <c r="Q149" s="25"/>
      <c r="R149" s="11">
        <v>0</v>
      </c>
      <c r="S149" s="1">
        <v>0.12</v>
      </c>
      <c r="T149" s="1">
        <f t="shared" si="11"/>
        <v>0.12</v>
      </c>
      <c r="U149" s="12">
        <v>0</v>
      </c>
      <c r="V149" s="13">
        <v>39.218609999999998</v>
      </c>
      <c r="W149" s="14">
        <f t="shared" si="12"/>
        <v>1882.4932799999999</v>
      </c>
      <c r="X149" s="25"/>
      <c r="Y149" s="14">
        <f t="shared" si="9"/>
        <v>1882.4932799999999</v>
      </c>
      <c r="Z149" s="3"/>
      <c r="AA149" s="3"/>
      <c r="AB149" s="5"/>
      <c r="AC149" s="1"/>
      <c r="AD149" s="32"/>
      <c r="AE149" s="32"/>
      <c r="AF149" s="3"/>
      <c r="AG149" s="7"/>
      <c r="AH149" s="7"/>
      <c r="AI149" s="3" t="s">
        <v>75</v>
      </c>
      <c r="AJ149" s="7" t="s">
        <v>67</v>
      </c>
      <c r="AK149" s="3"/>
      <c r="AL149" cm="1">
        <f t="array" ref="AL149">IF(getColor(V149) = 16777215, 0, 1)</f>
        <v>0</v>
      </c>
    </row>
    <row r="150" spans="1:38">
      <c r="A150" s="1">
        <v>149</v>
      </c>
      <c r="B150" s="3" t="s">
        <v>27</v>
      </c>
      <c r="C150" s="7" t="s">
        <v>140</v>
      </c>
      <c r="D150" s="7" t="s">
        <v>141</v>
      </c>
      <c r="E150" s="8">
        <v>57.866599999999998</v>
      </c>
      <c r="F150" s="8">
        <v>-134.1</v>
      </c>
      <c r="G150" s="9" t="s">
        <v>30</v>
      </c>
      <c r="H150" s="3" t="s">
        <v>31</v>
      </c>
      <c r="I150" s="3" t="s">
        <v>31</v>
      </c>
      <c r="J150" s="3" t="s">
        <v>31</v>
      </c>
      <c r="K150" s="7" t="s">
        <v>47</v>
      </c>
      <c r="L150" s="9">
        <v>0</v>
      </c>
      <c r="M150" s="9">
        <v>3</v>
      </c>
      <c r="N150" s="9">
        <f t="shared" si="10"/>
        <v>3</v>
      </c>
      <c r="O150" s="9"/>
      <c r="P150" s="9"/>
      <c r="Q150" s="25"/>
      <c r="R150" s="11">
        <v>0</v>
      </c>
      <c r="S150" s="1">
        <v>1.31</v>
      </c>
      <c r="T150" s="1">
        <f t="shared" si="11"/>
        <v>1.31</v>
      </c>
      <c r="U150" s="12">
        <v>13</v>
      </c>
      <c r="V150" s="13">
        <v>4.2192350000000003</v>
      </c>
      <c r="W150" s="14">
        <f t="shared" si="12"/>
        <v>1442.59863885</v>
      </c>
      <c r="X150" s="25"/>
      <c r="Y150" s="14">
        <f t="shared" si="9"/>
        <v>1442.59863885</v>
      </c>
      <c r="Z150" s="3"/>
      <c r="AA150" s="3"/>
      <c r="AB150" s="5"/>
      <c r="AC150" s="1"/>
      <c r="AD150" s="28"/>
      <c r="AE150" s="28"/>
      <c r="AF150" s="3"/>
      <c r="AG150" s="7"/>
      <c r="AH150" s="7"/>
      <c r="AI150" s="3" t="s">
        <v>75</v>
      </c>
      <c r="AJ150" s="7" t="s">
        <v>47</v>
      </c>
      <c r="AK150" s="3"/>
      <c r="AL150" cm="1">
        <f t="array" ref="AL150">IF(getColor(V150) = 16777215, 0, 1)</f>
        <v>0</v>
      </c>
    </row>
    <row r="151" spans="1:38">
      <c r="A151" s="1">
        <v>150</v>
      </c>
      <c r="B151" s="3" t="s">
        <v>27</v>
      </c>
      <c r="C151" s="7" t="s">
        <v>140</v>
      </c>
      <c r="D151" s="7" t="s">
        <v>141</v>
      </c>
      <c r="E151" s="8">
        <v>57.866599999999998</v>
      </c>
      <c r="F151" s="8">
        <v>-134.1</v>
      </c>
      <c r="G151" s="9" t="s">
        <v>30</v>
      </c>
      <c r="H151" s="3" t="s">
        <v>31</v>
      </c>
      <c r="I151" s="3" t="s">
        <v>31</v>
      </c>
      <c r="J151" s="3" t="s">
        <v>31</v>
      </c>
      <c r="K151" s="34" t="s">
        <v>77</v>
      </c>
      <c r="L151" s="27">
        <v>3</v>
      </c>
      <c r="M151" s="27">
        <v>5</v>
      </c>
      <c r="N151" s="9">
        <f t="shared" si="10"/>
        <v>2</v>
      </c>
      <c r="O151" s="9"/>
      <c r="P151" s="9"/>
      <c r="Q151" s="25"/>
      <c r="R151" s="11">
        <v>0</v>
      </c>
      <c r="S151" s="1">
        <v>1.19</v>
      </c>
      <c r="T151" s="1">
        <f t="shared" si="11"/>
        <v>1.19</v>
      </c>
      <c r="U151" s="12">
        <v>0</v>
      </c>
      <c r="V151" s="31">
        <v>4.8282825000000003</v>
      </c>
      <c r="W151" s="14">
        <f t="shared" si="12"/>
        <v>1149.1312349999998</v>
      </c>
      <c r="X151" s="25"/>
      <c r="Y151" s="14">
        <f t="shared" si="9"/>
        <v>1149.1312349999998</v>
      </c>
      <c r="Z151" s="3"/>
      <c r="AA151" s="3"/>
      <c r="AB151" s="5"/>
      <c r="AC151" s="1"/>
      <c r="AD151" s="28"/>
      <c r="AE151" s="28"/>
      <c r="AF151" s="3"/>
      <c r="AG151" s="7"/>
      <c r="AH151" s="34"/>
      <c r="AI151" s="3" t="s">
        <v>75</v>
      </c>
      <c r="AJ151" s="34" t="s">
        <v>78</v>
      </c>
      <c r="AK151" s="3"/>
      <c r="AL151" cm="1">
        <f t="array" ref="AL151">IF(getColor(V151) = 16777215, 0, 1)</f>
        <v>1</v>
      </c>
    </row>
    <row r="152" spans="1:38">
      <c r="A152" s="1">
        <v>151</v>
      </c>
      <c r="B152" s="3" t="s">
        <v>27</v>
      </c>
      <c r="C152" s="7" t="s">
        <v>140</v>
      </c>
      <c r="D152" s="7" t="s">
        <v>141</v>
      </c>
      <c r="E152" s="8">
        <v>57.866599999999998</v>
      </c>
      <c r="F152" s="8">
        <v>-134.1</v>
      </c>
      <c r="G152" s="9" t="s">
        <v>30</v>
      </c>
      <c r="H152" s="3" t="s">
        <v>31</v>
      </c>
      <c r="I152" s="3" t="s">
        <v>31</v>
      </c>
      <c r="J152" s="3" t="s">
        <v>31</v>
      </c>
      <c r="K152" s="7" t="s">
        <v>41</v>
      </c>
      <c r="L152" s="9">
        <v>5</v>
      </c>
      <c r="M152" s="9">
        <v>23</v>
      </c>
      <c r="N152" s="9">
        <f t="shared" si="10"/>
        <v>18</v>
      </c>
      <c r="O152" s="9"/>
      <c r="P152" s="9"/>
      <c r="Q152" s="25"/>
      <c r="R152" s="11">
        <v>0</v>
      </c>
      <c r="S152" s="1">
        <v>1.46</v>
      </c>
      <c r="T152" s="1">
        <f t="shared" si="11"/>
        <v>1.46</v>
      </c>
      <c r="U152" s="12">
        <v>33</v>
      </c>
      <c r="V152" s="13">
        <v>5.2233550000000006</v>
      </c>
      <c r="W152" s="14">
        <f t="shared" si="12"/>
        <v>9197.0745498000015</v>
      </c>
      <c r="X152" s="25"/>
      <c r="Y152" s="14">
        <f t="shared" si="9"/>
        <v>9197.0745498000015</v>
      </c>
      <c r="Z152" s="3"/>
      <c r="AA152" s="3"/>
      <c r="AB152" s="5"/>
      <c r="AC152" s="1"/>
      <c r="AD152" s="32"/>
      <c r="AE152" s="32"/>
      <c r="AF152" s="3"/>
      <c r="AG152" s="7"/>
      <c r="AH152" s="7"/>
      <c r="AI152" s="3" t="s">
        <v>75</v>
      </c>
      <c r="AJ152" s="7" t="s">
        <v>61</v>
      </c>
      <c r="AK152" s="3"/>
      <c r="AL152" cm="1">
        <f t="array" ref="AL152">IF(getColor(V152) = 16777215, 0, 1)</f>
        <v>0</v>
      </c>
    </row>
    <row r="153" spans="1:38">
      <c r="A153" s="1">
        <v>152</v>
      </c>
      <c r="B153" s="3" t="s">
        <v>27</v>
      </c>
      <c r="C153" s="7" t="s">
        <v>140</v>
      </c>
      <c r="D153" s="7" t="s">
        <v>141</v>
      </c>
      <c r="E153" s="8">
        <v>57.866599999999998</v>
      </c>
      <c r="F153" s="8">
        <v>-134.1</v>
      </c>
      <c r="G153" s="9" t="s">
        <v>30</v>
      </c>
      <c r="H153" s="3" t="s">
        <v>31</v>
      </c>
      <c r="I153" s="3" t="s">
        <v>31</v>
      </c>
      <c r="J153" s="3" t="s">
        <v>31</v>
      </c>
      <c r="K153" s="7" t="s">
        <v>79</v>
      </c>
      <c r="L153" s="9">
        <v>23</v>
      </c>
      <c r="M153" s="9">
        <v>31</v>
      </c>
      <c r="N153" s="9">
        <f t="shared" si="10"/>
        <v>8</v>
      </c>
      <c r="O153" s="9"/>
      <c r="P153" s="9"/>
      <c r="Q153" s="25"/>
      <c r="R153" s="11">
        <v>0</v>
      </c>
      <c r="S153" s="1">
        <v>1.19</v>
      </c>
      <c r="T153" s="1">
        <f t="shared" si="11"/>
        <v>1.19</v>
      </c>
      <c r="U153" s="12">
        <v>31</v>
      </c>
      <c r="V153" s="13">
        <v>1.5351450000000002</v>
      </c>
      <c r="W153" s="14">
        <f t="shared" si="12"/>
        <v>1008.4060476000001</v>
      </c>
      <c r="X153" s="25"/>
      <c r="Y153" s="14">
        <f t="shared" si="9"/>
        <v>1008.4060476000001</v>
      </c>
      <c r="Z153" s="3"/>
      <c r="AA153" s="3"/>
      <c r="AB153" s="5"/>
      <c r="AC153" s="1"/>
      <c r="AD153" s="28"/>
      <c r="AE153" s="28"/>
      <c r="AF153" s="3"/>
      <c r="AG153" s="7"/>
      <c r="AH153" s="7"/>
      <c r="AI153" s="3" t="s">
        <v>75</v>
      </c>
      <c r="AJ153" s="7" t="s">
        <v>79</v>
      </c>
      <c r="AK153" s="3"/>
      <c r="AL153" cm="1">
        <f t="array" ref="AL153">IF(getColor(V153) = 16777215, 0, 1)</f>
        <v>0</v>
      </c>
    </row>
    <row r="154" spans="1:38">
      <c r="A154" s="1">
        <v>153</v>
      </c>
      <c r="B154" s="3" t="s">
        <v>27</v>
      </c>
      <c r="C154" s="7" t="s">
        <v>140</v>
      </c>
      <c r="D154" s="7" t="s">
        <v>141</v>
      </c>
      <c r="E154" s="8">
        <v>57.866599999999998</v>
      </c>
      <c r="F154" s="8">
        <v>-134.1</v>
      </c>
      <c r="G154" s="9" t="s">
        <v>30</v>
      </c>
      <c r="H154" s="3" t="s">
        <v>31</v>
      </c>
      <c r="I154" s="3" t="s">
        <v>31</v>
      </c>
      <c r="J154" s="3" t="s">
        <v>31</v>
      </c>
      <c r="K154" s="7" t="s">
        <v>124</v>
      </c>
      <c r="L154" s="9">
        <v>31</v>
      </c>
      <c r="M154" s="9">
        <v>91</v>
      </c>
      <c r="N154" s="9">
        <f t="shared" si="10"/>
        <v>60</v>
      </c>
      <c r="O154" s="9"/>
      <c r="P154" s="9"/>
      <c r="Q154" s="25"/>
      <c r="R154" s="11">
        <v>0</v>
      </c>
      <c r="S154" s="1">
        <v>1.91</v>
      </c>
      <c r="T154" s="1">
        <f t="shared" si="11"/>
        <v>1.91</v>
      </c>
      <c r="U154" s="12">
        <v>16</v>
      </c>
      <c r="V154" s="13">
        <v>0.50206000000000006</v>
      </c>
      <c r="W154" s="14">
        <f t="shared" si="12"/>
        <v>4833.0303839999997</v>
      </c>
      <c r="X154" s="25"/>
      <c r="Y154" s="14">
        <f t="shared" si="9"/>
        <v>4833.0303839999997</v>
      </c>
      <c r="Z154" s="3"/>
      <c r="AA154" s="3"/>
      <c r="AB154" s="5"/>
      <c r="AC154" s="1"/>
      <c r="AD154" s="28"/>
      <c r="AE154" s="28"/>
      <c r="AF154" s="3"/>
      <c r="AG154" s="7"/>
      <c r="AH154" s="7"/>
      <c r="AI154" s="3" t="s">
        <v>75</v>
      </c>
      <c r="AJ154" s="7" t="s">
        <v>124</v>
      </c>
      <c r="AK154" s="3"/>
      <c r="AL154" cm="1">
        <f t="array" ref="AL154">IF(getColor(V154) = 16777215, 0, 1)</f>
        <v>0</v>
      </c>
    </row>
    <row r="155" spans="1:38">
      <c r="A155" s="1">
        <v>154</v>
      </c>
      <c r="B155" s="3" t="s">
        <v>27</v>
      </c>
      <c r="C155" s="7" t="s">
        <v>144</v>
      </c>
      <c r="D155" s="7" t="s">
        <v>145</v>
      </c>
      <c r="E155" s="8">
        <v>56.008333333333333</v>
      </c>
      <c r="F155" s="8">
        <v>-133.58330000000001</v>
      </c>
      <c r="G155" s="9" t="s">
        <v>30</v>
      </c>
      <c r="H155" s="3" t="s">
        <v>31</v>
      </c>
      <c r="I155" s="3" t="s">
        <v>31</v>
      </c>
      <c r="J155" s="3" t="s">
        <v>31</v>
      </c>
      <c r="K155" s="7" t="s">
        <v>51</v>
      </c>
      <c r="L155" s="9">
        <v>0</v>
      </c>
      <c r="M155" s="9">
        <v>9</v>
      </c>
      <c r="N155" s="9">
        <f t="shared" si="10"/>
        <v>9</v>
      </c>
      <c r="O155" s="29">
        <v>0</v>
      </c>
      <c r="P155" s="29">
        <v>21</v>
      </c>
      <c r="Q155" s="29">
        <f>P155+O155</f>
        <v>21</v>
      </c>
      <c r="R155" s="11">
        <v>0</v>
      </c>
      <c r="S155" s="1">
        <v>0.12</v>
      </c>
      <c r="T155" s="1">
        <f t="shared" si="11"/>
        <v>0.12</v>
      </c>
      <c r="U155" s="12">
        <v>0</v>
      </c>
      <c r="V155" s="13">
        <v>46.279232999999998</v>
      </c>
      <c r="W155" s="14">
        <f t="shared" si="12"/>
        <v>4998.1571639999993</v>
      </c>
      <c r="X155" s="14">
        <f>SUM(W155:W156)</f>
        <v>11413.285884000001</v>
      </c>
      <c r="Y155" s="14">
        <f t="shared" si="9"/>
        <v>4998.1571639999993</v>
      </c>
      <c r="Z155" s="15">
        <f>SUM(Y155:Y156)/10^6*10^4</f>
        <v>114.13285884</v>
      </c>
      <c r="AA155" s="33">
        <v>37.712999238328763</v>
      </c>
      <c r="AB155" s="5"/>
      <c r="AC155" s="1"/>
      <c r="AD155" s="28"/>
      <c r="AE155" s="28"/>
      <c r="AF155" s="3"/>
      <c r="AG155" s="7"/>
      <c r="AH155" s="7"/>
      <c r="AI155" s="3" t="s">
        <v>146</v>
      </c>
      <c r="AJ155" s="7" t="s">
        <v>67</v>
      </c>
      <c r="AK155" s="3"/>
      <c r="AL155" cm="1">
        <f t="array" ref="AL155">IF(getColor(V155) = 16777215, 0, 1)</f>
        <v>0</v>
      </c>
    </row>
    <row r="156" spans="1:38">
      <c r="A156" s="1">
        <v>155</v>
      </c>
      <c r="B156" s="3" t="s">
        <v>27</v>
      </c>
      <c r="C156" s="7" t="s">
        <v>144</v>
      </c>
      <c r="D156" s="7" t="s">
        <v>145</v>
      </c>
      <c r="E156" s="8">
        <v>56.008333333333333</v>
      </c>
      <c r="F156" s="8">
        <v>-133.58330000000001</v>
      </c>
      <c r="G156" s="9" t="s">
        <v>30</v>
      </c>
      <c r="H156" s="3" t="s">
        <v>31</v>
      </c>
      <c r="I156" s="3" t="s">
        <v>31</v>
      </c>
      <c r="J156" s="3" t="s">
        <v>31</v>
      </c>
      <c r="K156" s="7" t="s">
        <v>52</v>
      </c>
      <c r="L156" s="9">
        <v>9</v>
      </c>
      <c r="M156" s="9">
        <v>21</v>
      </c>
      <c r="N156" s="9">
        <f t="shared" si="10"/>
        <v>12</v>
      </c>
      <c r="O156" s="9"/>
      <c r="P156" s="9"/>
      <c r="Q156" s="25"/>
      <c r="R156" s="11">
        <v>0</v>
      </c>
      <c r="S156" s="1">
        <v>0.15</v>
      </c>
      <c r="T156" s="1">
        <f t="shared" si="11"/>
        <v>0.15</v>
      </c>
      <c r="U156" s="12">
        <v>0</v>
      </c>
      <c r="V156" s="13">
        <v>35.639604000000006</v>
      </c>
      <c r="W156" s="14">
        <f t="shared" si="12"/>
        <v>6415.1287200000015</v>
      </c>
      <c r="X156" s="25"/>
      <c r="Y156" s="14">
        <f t="shared" si="9"/>
        <v>6415.1287200000015</v>
      </c>
      <c r="Z156" s="3"/>
      <c r="AA156" s="3"/>
      <c r="AB156" s="5"/>
      <c r="AC156" s="1"/>
      <c r="AD156" s="28"/>
      <c r="AE156" s="28"/>
      <c r="AF156" s="3"/>
      <c r="AG156" s="7"/>
      <c r="AH156" s="7"/>
      <c r="AI156" s="3" t="s">
        <v>146</v>
      </c>
      <c r="AJ156" s="7" t="s">
        <v>76</v>
      </c>
      <c r="AK156" s="3"/>
      <c r="AL156" cm="1">
        <f t="array" ref="AL156">IF(getColor(V156) = 16777215, 0, 1)</f>
        <v>0</v>
      </c>
    </row>
    <row r="157" spans="1:38">
      <c r="A157" s="1">
        <v>156</v>
      </c>
      <c r="B157" s="3" t="s">
        <v>27</v>
      </c>
      <c r="C157" s="7" t="s">
        <v>147</v>
      </c>
      <c r="D157" s="7" t="s">
        <v>148</v>
      </c>
      <c r="E157" s="8">
        <v>56.008333333333333</v>
      </c>
      <c r="F157" s="8">
        <v>-133.58330000000001</v>
      </c>
      <c r="G157" s="9" t="s">
        <v>30</v>
      </c>
      <c r="H157" s="3" t="s">
        <v>31</v>
      </c>
      <c r="I157" s="3" t="s">
        <v>31</v>
      </c>
      <c r="J157" s="3" t="s">
        <v>31</v>
      </c>
      <c r="K157" s="7" t="s">
        <v>51</v>
      </c>
      <c r="L157" s="9">
        <v>13</v>
      </c>
      <c r="M157" s="9">
        <v>9</v>
      </c>
      <c r="N157" s="9">
        <f t="shared" si="10"/>
        <v>4</v>
      </c>
      <c r="O157" s="29">
        <f>M160</f>
        <v>31</v>
      </c>
      <c r="P157" s="29">
        <f>L157</f>
        <v>13</v>
      </c>
      <c r="Q157" s="29">
        <f>P157+O157</f>
        <v>44</v>
      </c>
      <c r="R157" s="11">
        <v>0</v>
      </c>
      <c r="S157" s="1">
        <v>0.12</v>
      </c>
      <c r="T157" s="1">
        <f t="shared" si="11"/>
        <v>0.12</v>
      </c>
      <c r="U157" s="12">
        <v>0</v>
      </c>
      <c r="V157" s="13">
        <v>50.215654999999998</v>
      </c>
      <c r="W157" s="14">
        <f t="shared" si="12"/>
        <v>2410.3514399999999</v>
      </c>
      <c r="X157" s="14">
        <f>SUM(W157:W160)</f>
        <v>32986.823077000008</v>
      </c>
      <c r="Y157" s="14">
        <f t="shared" si="9"/>
        <v>2410.3514399999999</v>
      </c>
      <c r="Z157" s="15">
        <f>SUM(Y157:Y160)/10^6*10^4</f>
        <v>329.86823077000008</v>
      </c>
      <c r="AA157" s="33">
        <v>53.391838442332549</v>
      </c>
      <c r="AB157" s="5"/>
      <c r="AC157" s="1"/>
      <c r="AD157" s="28"/>
      <c r="AE157" s="28"/>
      <c r="AF157" s="3"/>
      <c r="AG157" s="7"/>
      <c r="AH157" s="7"/>
      <c r="AI157" s="3" t="s">
        <v>75</v>
      </c>
      <c r="AJ157" s="7" t="s">
        <v>67</v>
      </c>
      <c r="AK157" s="3"/>
      <c r="AL157" cm="1">
        <f t="array" ref="AL157">IF(getColor(V157) = 16777215, 0, 1)</f>
        <v>0</v>
      </c>
    </row>
    <row r="158" spans="1:38">
      <c r="A158" s="1">
        <v>157</v>
      </c>
      <c r="B158" s="3" t="s">
        <v>27</v>
      </c>
      <c r="C158" s="7" t="s">
        <v>147</v>
      </c>
      <c r="D158" s="7" t="s">
        <v>148</v>
      </c>
      <c r="E158" s="8">
        <v>56.008333333333333</v>
      </c>
      <c r="F158" s="8">
        <v>-133.58330000000001</v>
      </c>
      <c r="G158" s="9" t="s">
        <v>30</v>
      </c>
      <c r="H158" s="3" t="s">
        <v>31</v>
      </c>
      <c r="I158" s="3" t="s">
        <v>31</v>
      </c>
      <c r="J158" s="3" t="s">
        <v>31</v>
      </c>
      <c r="K158" s="7" t="s">
        <v>51</v>
      </c>
      <c r="L158" s="9">
        <v>9</v>
      </c>
      <c r="M158" s="7">
        <v>0</v>
      </c>
      <c r="N158" s="9">
        <f t="shared" si="10"/>
        <v>9</v>
      </c>
      <c r="O158" s="9"/>
      <c r="P158" s="9"/>
      <c r="Q158" s="25"/>
      <c r="R158" s="11">
        <v>0</v>
      </c>
      <c r="S158" s="1">
        <v>0.12</v>
      </c>
      <c r="T158" s="1">
        <f t="shared" si="11"/>
        <v>0.12</v>
      </c>
      <c r="U158" s="12">
        <v>0</v>
      </c>
      <c r="V158" s="13">
        <v>41.043405</v>
      </c>
      <c r="W158" s="14">
        <f t="shared" si="12"/>
        <v>4432.6877399999994</v>
      </c>
      <c r="X158" s="25"/>
      <c r="Y158" s="14">
        <f t="shared" si="9"/>
        <v>4432.6877399999994</v>
      </c>
      <c r="Z158" s="3"/>
      <c r="AA158" s="3"/>
      <c r="AB158" s="5"/>
      <c r="AC158" s="1"/>
      <c r="AD158" s="28"/>
      <c r="AE158" s="28"/>
      <c r="AF158" s="3"/>
      <c r="AG158" s="7"/>
      <c r="AH158" s="7"/>
      <c r="AI158" s="3" t="s">
        <v>75</v>
      </c>
      <c r="AJ158" s="7" t="s">
        <v>87</v>
      </c>
      <c r="AK158" s="3"/>
      <c r="AL158" cm="1">
        <f t="array" ref="AL158">IF(getColor(V158) = 16777215, 0, 1)</f>
        <v>0</v>
      </c>
    </row>
    <row r="159" spans="1:38">
      <c r="A159" s="1">
        <v>158</v>
      </c>
      <c r="B159" s="3" t="s">
        <v>27</v>
      </c>
      <c r="C159" s="7" t="s">
        <v>147</v>
      </c>
      <c r="D159" s="7" t="s">
        <v>148</v>
      </c>
      <c r="E159" s="8">
        <v>56.008333333333333</v>
      </c>
      <c r="F159" s="8">
        <v>-133.58330000000001</v>
      </c>
      <c r="G159" s="9" t="s">
        <v>30</v>
      </c>
      <c r="H159" s="3" t="s">
        <v>31</v>
      </c>
      <c r="I159" s="3" t="s">
        <v>31</v>
      </c>
      <c r="J159" s="3" t="s">
        <v>31</v>
      </c>
      <c r="K159" s="7" t="s">
        <v>149</v>
      </c>
      <c r="L159" s="9">
        <v>0</v>
      </c>
      <c r="M159" s="9">
        <v>21</v>
      </c>
      <c r="N159" s="9">
        <f t="shared" si="10"/>
        <v>21</v>
      </c>
      <c r="O159" s="9"/>
      <c r="P159" s="9"/>
      <c r="Q159" s="25"/>
      <c r="R159" s="11">
        <v>0</v>
      </c>
      <c r="S159" s="1">
        <v>1.31</v>
      </c>
      <c r="T159" s="1">
        <f t="shared" si="11"/>
        <v>1.31</v>
      </c>
      <c r="U159" s="12">
        <v>15</v>
      </c>
      <c r="V159" s="13">
        <v>9.1336300000000019</v>
      </c>
      <c r="W159" s="14">
        <f t="shared" si="12"/>
        <v>21357.623710500004</v>
      </c>
      <c r="X159" s="25"/>
      <c r="Y159" s="14">
        <f t="shared" si="9"/>
        <v>21357.623710500004</v>
      </c>
      <c r="Z159" s="3"/>
      <c r="AA159" s="3"/>
      <c r="AB159" s="5"/>
      <c r="AC159" s="1"/>
      <c r="AD159" s="28"/>
      <c r="AE159" s="28"/>
      <c r="AF159" s="3"/>
      <c r="AG159" s="7"/>
      <c r="AH159" s="7"/>
      <c r="AI159" s="3" t="s">
        <v>75</v>
      </c>
      <c r="AJ159" s="7" t="s">
        <v>150</v>
      </c>
      <c r="AK159" s="3"/>
      <c r="AL159" cm="1">
        <f t="array" ref="AL159">IF(getColor(V159) = 16777215, 0, 1)</f>
        <v>0</v>
      </c>
    </row>
    <row r="160" spans="1:38">
      <c r="A160" s="1">
        <v>159</v>
      </c>
      <c r="B160" s="3" t="s">
        <v>27</v>
      </c>
      <c r="C160" s="7" t="s">
        <v>147</v>
      </c>
      <c r="D160" s="7" t="s">
        <v>148</v>
      </c>
      <c r="E160" s="8">
        <v>56.008333333333333</v>
      </c>
      <c r="F160" s="8">
        <v>-133.58330000000001</v>
      </c>
      <c r="G160" s="9" t="s">
        <v>30</v>
      </c>
      <c r="H160" s="3" t="s">
        <v>31</v>
      </c>
      <c r="I160" s="3" t="s">
        <v>31</v>
      </c>
      <c r="J160" s="3" t="s">
        <v>31</v>
      </c>
      <c r="K160" s="7" t="s">
        <v>79</v>
      </c>
      <c r="L160" s="9">
        <v>21</v>
      </c>
      <c r="M160" s="9">
        <v>31</v>
      </c>
      <c r="N160" s="9">
        <f t="shared" si="10"/>
        <v>10</v>
      </c>
      <c r="O160" s="9"/>
      <c r="P160" s="9"/>
      <c r="Q160" s="25"/>
      <c r="R160" s="11">
        <v>0</v>
      </c>
      <c r="S160" s="1">
        <v>1.19</v>
      </c>
      <c r="T160" s="1">
        <f t="shared" si="11"/>
        <v>1.19</v>
      </c>
      <c r="U160" s="12">
        <v>23</v>
      </c>
      <c r="V160" s="13">
        <v>5.2233550000000006</v>
      </c>
      <c r="W160" s="14">
        <f t="shared" si="12"/>
        <v>4786.1601865000011</v>
      </c>
      <c r="X160" s="25"/>
      <c r="Y160" s="14">
        <f t="shared" si="9"/>
        <v>4786.1601865000011</v>
      </c>
      <c r="Z160" s="3"/>
      <c r="AA160" s="3"/>
      <c r="AB160" s="5"/>
      <c r="AC160" s="1"/>
      <c r="AD160" s="28"/>
      <c r="AE160" s="28"/>
      <c r="AF160" s="3"/>
      <c r="AG160" s="7"/>
      <c r="AH160" s="7"/>
      <c r="AI160" s="3" t="s">
        <v>75</v>
      </c>
      <c r="AJ160" s="7" t="s">
        <v>79</v>
      </c>
      <c r="AK160" s="3"/>
      <c r="AL160" cm="1">
        <f t="array" ref="AL160">IF(getColor(V160) = 16777215, 0, 1)</f>
        <v>0</v>
      </c>
    </row>
    <row r="161" spans="1:38">
      <c r="A161" s="1">
        <v>160</v>
      </c>
      <c r="B161" s="3" t="s">
        <v>27</v>
      </c>
      <c r="C161" s="7" t="s">
        <v>151</v>
      </c>
      <c r="D161" s="7" t="s">
        <v>152</v>
      </c>
      <c r="E161" s="8">
        <v>56.008333333333333</v>
      </c>
      <c r="F161" s="8">
        <v>-133.58330000000001</v>
      </c>
      <c r="G161" s="9" t="s">
        <v>30</v>
      </c>
      <c r="H161" s="3" t="s">
        <v>31</v>
      </c>
      <c r="I161" s="3" t="s">
        <v>31</v>
      </c>
      <c r="J161" s="3" t="s">
        <v>31</v>
      </c>
      <c r="K161" s="7" t="s">
        <v>51</v>
      </c>
      <c r="L161" s="9">
        <v>9</v>
      </c>
      <c r="M161" s="9">
        <v>6</v>
      </c>
      <c r="N161" s="9">
        <f t="shared" si="10"/>
        <v>3</v>
      </c>
      <c r="O161" s="29">
        <f>M163</f>
        <v>11</v>
      </c>
      <c r="P161" s="29">
        <f>L161</f>
        <v>9</v>
      </c>
      <c r="Q161" s="29">
        <f>P161+O161</f>
        <v>20</v>
      </c>
      <c r="R161" s="11">
        <v>0</v>
      </c>
      <c r="S161" s="1">
        <v>0.13</v>
      </c>
      <c r="T161" s="1">
        <f t="shared" si="11"/>
        <v>0.13</v>
      </c>
      <c r="U161" s="12">
        <v>0</v>
      </c>
      <c r="V161" s="13">
        <v>51.210120000000003</v>
      </c>
      <c r="W161" s="14">
        <f t="shared" si="12"/>
        <v>1997.1946800000001</v>
      </c>
      <c r="X161" s="14">
        <f>SUM(W161:W163)</f>
        <v>32143.794338250002</v>
      </c>
      <c r="Y161" s="14">
        <f t="shared" si="9"/>
        <v>1997.1946800000001</v>
      </c>
      <c r="Z161" s="15">
        <f>SUM(Y161:Y163)/10^6*10^4</f>
        <v>321.43794338250001</v>
      </c>
      <c r="AA161" s="33">
        <v>39.716702690381574</v>
      </c>
      <c r="AB161" s="5"/>
      <c r="AC161" s="1"/>
      <c r="AD161" s="28"/>
      <c r="AE161" s="28"/>
      <c r="AF161" s="3"/>
      <c r="AG161" s="7"/>
      <c r="AH161" s="7"/>
      <c r="AI161" s="3" t="s">
        <v>118</v>
      </c>
      <c r="AJ161" s="7" t="s">
        <v>67</v>
      </c>
      <c r="AK161" s="3"/>
      <c r="AL161" cm="1">
        <f t="array" ref="AL161">IF(getColor(V161) = 16777215, 0, 1)</f>
        <v>0</v>
      </c>
    </row>
    <row r="162" spans="1:38">
      <c r="A162" s="1">
        <v>161</v>
      </c>
      <c r="B162" s="3" t="s">
        <v>27</v>
      </c>
      <c r="C162" s="7" t="s">
        <v>151</v>
      </c>
      <c r="D162" s="7" t="s">
        <v>152</v>
      </c>
      <c r="E162" s="8">
        <v>56.008333333333333</v>
      </c>
      <c r="F162" s="8">
        <v>-133.58330000000001</v>
      </c>
      <c r="G162" s="9" t="s">
        <v>30</v>
      </c>
      <c r="H162" s="3" t="s">
        <v>31</v>
      </c>
      <c r="I162" s="3" t="s">
        <v>31</v>
      </c>
      <c r="J162" s="3" t="s">
        <v>31</v>
      </c>
      <c r="K162" s="7" t="s">
        <v>52</v>
      </c>
      <c r="L162" s="9">
        <v>6</v>
      </c>
      <c r="M162" s="9">
        <v>0</v>
      </c>
      <c r="N162" s="9">
        <f t="shared" si="10"/>
        <v>6</v>
      </c>
      <c r="O162" s="9"/>
      <c r="P162" s="9"/>
      <c r="Q162" s="25"/>
      <c r="R162" s="11">
        <v>0</v>
      </c>
      <c r="S162" s="1">
        <v>0.15</v>
      </c>
      <c r="T162" s="1">
        <f t="shared" si="11"/>
        <v>0.15</v>
      </c>
      <c r="U162" s="12">
        <v>0</v>
      </c>
      <c r="V162" s="13">
        <v>46.479170000000003</v>
      </c>
      <c r="W162" s="14">
        <f t="shared" si="12"/>
        <v>4183.1253000000006</v>
      </c>
      <c r="X162" s="25"/>
      <c r="Y162" s="14">
        <f t="shared" si="9"/>
        <v>4183.1253000000006</v>
      </c>
      <c r="Z162" s="3"/>
      <c r="AA162" s="3"/>
      <c r="AB162" s="5"/>
      <c r="AC162" s="1"/>
      <c r="AD162" s="28"/>
      <c r="AE162" s="28"/>
      <c r="AF162" s="3"/>
      <c r="AG162" s="7"/>
      <c r="AH162" s="7"/>
      <c r="AI162" s="3" t="s">
        <v>118</v>
      </c>
      <c r="AJ162" s="7" t="s">
        <v>76</v>
      </c>
      <c r="AK162" s="3"/>
      <c r="AL162" cm="1">
        <f t="array" ref="AL162">IF(getColor(V162) = 16777215, 0, 1)</f>
        <v>0</v>
      </c>
    </row>
    <row r="163" spans="1:38">
      <c r="A163" s="1">
        <v>162</v>
      </c>
      <c r="B163" s="3" t="s">
        <v>27</v>
      </c>
      <c r="C163" s="7" t="s">
        <v>151</v>
      </c>
      <c r="D163" s="7" t="s">
        <v>152</v>
      </c>
      <c r="E163" s="8">
        <v>56.008333333333333</v>
      </c>
      <c r="F163" s="8">
        <v>-133.58330000000001</v>
      </c>
      <c r="G163" s="9" t="s">
        <v>30</v>
      </c>
      <c r="H163" s="3" t="s">
        <v>31</v>
      </c>
      <c r="I163" s="3" t="s">
        <v>31</v>
      </c>
      <c r="J163" s="3" t="s">
        <v>31</v>
      </c>
      <c r="K163" s="7" t="s">
        <v>79</v>
      </c>
      <c r="L163" s="9">
        <v>0</v>
      </c>
      <c r="M163" s="9">
        <v>11</v>
      </c>
      <c r="N163" s="9">
        <f t="shared" si="10"/>
        <v>11</v>
      </c>
      <c r="O163" s="9"/>
      <c r="P163" s="9"/>
      <c r="Q163" s="25"/>
      <c r="R163" s="11">
        <v>0</v>
      </c>
      <c r="S163" s="1">
        <v>1.45</v>
      </c>
      <c r="T163" s="1">
        <f t="shared" si="11"/>
        <v>1.45</v>
      </c>
      <c r="U163" s="12">
        <v>1</v>
      </c>
      <c r="V163" s="13">
        <v>16.442465000000002</v>
      </c>
      <c r="W163" s="14">
        <f t="shared" si="12"/>
        <v>25963.474358250001</v>
      </c>
      <c r="X163" s="25"/>
      <c r="Y163" s="14">
        <f t="shared" si="9"/>
        <v>25963.474358250001</v>
      </c>
      <c r="Z163" s="3"/>
      <c r="AA163" s="3"/>
      <c r="AB163" s="5"/>
      <c r="AC163" s="1"/>
      <c r="AD163" s="28"/>
      <c r="AE163" s="28"/>
      <c r="AF163" s="3"/>
      <c r="AG163" s="7"/>
      <c r="AH163" s="7"/>
      <c r="AI163" s="3" t="s">
        <v>118</v>
      </c>
      <c r="AJ163" s="7" t="s">
        <v>79</v>
      </c>
      <c r="AK163" s="3"/>
      <c r="AL163" cm="1">
        <f t="array" ref="AL163">IF(getColor(V163) = 16777215, 0, 1)</f>
        <v>0</v>
      </c>
    </row>
    <row r="164" spans="1:38">
      <c r="A164" s="1">
        <v>163</v>
      </c>
      <c r="B164" s="3" t="s">
        <v>27</v>
      </c>
      <c r="C164" s="7" t="s">
        <v>153</v>
      </c>
      <c r="D164" s="7" t="s">
        <v>148</v>
      </c>
      <c r="E164" s="8">
        <v>56.008333333333333</v>
      </c>
      <c r="F164" s="8">
        <v>-133.58330000000001</v>
      </c>
      <c r="G164" s="9" t="s">
        <v>30</v>
      </c>
      <c r="H164" s="3" t="s">
        <v>31</v>
      </c>
      <c r="I164" s="3" t="s">
        <v>31</v>
      </c>
      <c r="J164" s="3" t="s">
        <v>31</v>
      </c>
      <c r="K164" s="7" t="s">
        <v>51</v>
      </c>
      <c r="L164" s="9">
        <v>4</v>
      </c>
      <c r="M164" s="9">
        <v>0</v>
      </c>
      <c r="N164" s="9">
        <f t="shared" si="10"/>
        <v>4</v>
      </c>
      <c r="O164" s="29">
        <f>M165</f>
        <v>15</v>
      </c>
      <c r="P164" s="29">
        <f>L164</f>
        <v>4</v>
      </c>
      <c r="Q164" s="29">
        <f>P164+O164</f>
        <v>19</v>
      </c>
      <c r="R164" s="11">
        <v>0</v>
      </c>
      <c r="S164" s="1">
        <v>0.12</v>
      </c>
      <c r="T164" s="1">
        <f t="shared" si="11"/>
        <v>0.12</v>
      </c>
      <c r="U164" s="12">
        <v>0</v>
      </c>
      <c r="V164" s="13">
        <v>46.199175000000004</v>
      </c>
      <c r="W164" s="14">
        <f t="shared" si="12"/>
        <v>2217.5603999999998</v>
      </c>
      <c r="X164" s="14">
        <f>SUM(W164:W165)</f>
        <v>13976.834823000001</v>
      </c>
      <c r="Y164" s="14">
        <f t="shared" si="9"/>
        <v>2217.5603999999998</v>
      </c>
      <c r="Z164" s="15">
        <f>SUM(Y164:Y165)/10^6*10^4</f>
        <v>139.76834823000002</v>
      </c>
      <c r="AA164" s="33">
        <v>19.024335009967611</v>
      </c>
      <c r="AB164" s="5"/>
      <c r="AC164" s="1"/>
      <c r="AD164" s="28"/>
      <c r="AE164" s="28"/>
      <c r="AF164" s="3"/>
      <c r="AG164" s="7"/>
      <c r="AH164" s="7"/>
      <c r="AI164" s="3" t="s">
        <v>75</v>
      </c>
      <c r="AJ164" s="7" t="s">
        <v>67</v>
      </c>
      <c r="AK164" s="3"/>
      <c r="AL164" cm="1">
        <f t="array" ref="AL164">IF(getColor(V164) = 16777215, 0, 1)</f>
        <v>0</v>
      </c>
    </row>
    <row r="165" spans="1:38">
      <c r="A165" s="1">
        <v>164</v>
      </c>
      <c r="B165" s="3" t="s">
        <v>27</v>
      </c>
      <c r="C165" s="7" t="s">
        <v>153</v>
      </c>
      <c r="D165" s="7" t="s">
        <v>148</v>
      </c>
      <c r="E165" s="8">
        <v>56.008333333333333</v>
      </c>
      <c r="F165" s="8">
        <v>-133.58330000000001</v>
      </c>
      <c r="G165" s="9" t="s">
        <v>30</v>
      </c>
      <c r="H165" s="3" t="s">
        <v>31</v>
      </c>
      <c r="I165" s="3" t="s">
        <v>31</v>
      </c>
      <c r="J165" s="3" t="s">
        <v>31</v>
      </c>
      <c r="K165" s="7" t="s">
        <v>41</v>
      </c>
      <c r="L165" s="9">
        <v>0</v>
      </c>
      <c r="M165" s="9">
        <v>15</v>
      </c>
      <c r="N165" s="9">
        <f t="shared" si="10"/>
        <v>15</v>
      </c>
      <c r="O165" s="9"/>
      <c r="P165" s="9"/>
      <c r="Q165" s="25"/>
      <c r="R165" s="11">
        <v>0</v>
      </c>
      <c r="S165" s="1">
        <v>1.46</v>
      </c>
      <c r="T165" s="1">
        <f t="shared" si="11"/>
        <v>1.46</v>
      </c>
      <c r="U165" s="12">
        <v>7</v>
      </c>
      <c r="V165" s="13">
        <v>5.7736900000000002</v>
      </c>
      <c r="W165" s="14">
        <f t="shared" si="12"/>
        <v>11759.274423000001</v>
      </c>
      <c r="X165" s="25"/>
      <c r="Y165" s="14">
        <f t="shared" si="9"/>
        <v>11759.274423000001</v>
      </c>
      <c r="Z165" s="3"/>
      <c r="AA165" s="3"/>
      <c r="AB165" s="5"/>
      <c r="AC165" s="1"/>
      <c r="AD165" s="28"/>
      <c r="AE165" s="28"/>
      <c r="AF165" s="3"/>
      <c r="AG165" s="7"/>
      <c r="AH165" s="7"/>
      <c r="AI165" s="3" t="s">
        <v>75</v>
      </c>
      <c r="AJ165" s="7" t="s">
        <v>61</v>
      </c>
      <c r="AK165" s="3"/>
      <c r="AL165" cm="1">
        <f t="array" ref="AL165">IF(getColor(V165) = 16777215, 0, 1)</f>
        <v>0</v>
      </c>
    </row>
    <row r="166" spans="1:38">
      <c r="A166" s="1">
        <v>165</v>
      </c>
      <c r="B166" s="3" t="s">
        <v>27</v>
      </c>
      <c r="C166" s="7" t="s">
        <v>154</v>
      </c>
      <c r="D166" s="7" t="s">
        <v>74</v>
      </c>
      <c r="E166" s="8">
        <v>56.008333333333333</v>
      </c>
      <c r="F166" s="8">
        <v>-133.58330000000001</v>
      </c>
      <c r="G166" s="9" t="s">
        <v>30</v>
      </c>
      <c r="H166" s="3" t="s">
        <v>31</v>
      </c>
      <c r="I166" s="3" t="s">
        <v>31</v>
      </c>
      <c r="J166" s="3" t="s">
        <v>31</v>
      </c>
      <c r="K166" s="7" t="s">
        <v>51</v>
      </c>
      <c r="L166" s="9">
        <v>14</v>
      </c>
      <c r="M166" s="9">
        <v>8</v>
      </c>
      <c r="N166" s="9">
        <f t="shared" si="10"/>
        <v>6</v>
      </c>
      <c r="O166" s="29">
        <f>M169</f>
        <v>51</v>
      </c>
      <c r="P166" s="29">
        <f>L166</f>
        <v>14</v>
      </c>
      <c r="Q166" s="29">
        <f>P166+O166</f>
        <v>65</v>
      </c>
      <c r="R166" s="11">
        <v>0</v>
      </c>
      <c r="S166" s="1">
        <v>0.12</v>
      </c>
      <c r="T166" s="1">
        <f t="shared" si="11"/>
        <v>0.12</v>
      </c>
      <c r="U166" s="12">
        <v>0</v>
      </c>
      <c r="V166" s="13">
        <v>52.001829999999998</v>
      </c>
      <c r="W166" s="14">
        <f t="shared" si="12"/>
        <v>3744.1317599999998</v>
      </c>
      <c r="X166" s="14">
        <f>SUM(W166:W169)</f>
        <v>44445.932529149999</v>
      </c>
      <c r="Y166" s="14">
        <f t="shared" ref="Y166:Y174" si="13">T166*V166/100*N166*100*100*((100-U166)/100)</f>
        <v>3744.1317599999998</v>
      </c>
      <c r="Z166" s="15">
        <f>SUM(Y166:Y169)/10^6*10^4</f>
        <v>444.45932529150002</v>
      </c>
      <c r="AA166" s="33">
        <v>68.941282935838288</v>
      </c>
      <c r="AB166" s="5"/>
      <c r="AC166" s="1"/>
      <c r="AD166" s="28"/>
      <c r="AE166" s="28"/>
      <c r="AF166" s="3"/>
      <c r="AG166" s="7"/>
      <c r="AH166" s="7"/>
      <c r="AI166" s="3" t="s">
        <v>75</v>
      </c>
      <c r="AJ166" s="7" t="s">
        <v>67</v>
      </c>
      <c r="AK166" s="3"/>
      <c r="AL166" cm="1">
        <f t="array" ref="AL166">IF(getColor(V166) = 16777215, 0, 1)</f>
        <v>0</v>
      </c>
    </row>
    <row r="167" spans="1:38">
      <c r="A167" s="1">
        <v>166</v>
      </c>
      <c r="B167" s="3" t="s">
        <v>27</v>
      </c>
      <c r="C167" s="7" t="s">
        <v>154</v>
      </c>
      <c r="D167" s="7" t="s">
        <v>74</v>
      </c>
      <c r="E167" s="8">
        <v>56.008333333333333</v>
      </c>
      <c r="F167" s="8">
        <v>-133.58330000000001</v>
      </c>
      <c r="G167" s="9" t="s">
        <v>30</v>
      </c>
      <c r="H167" s="3" t="s">
        <v>31</v>
      </c>
      <c r="I167" s="3" t="s">
        <v>31</v>
      </c>
      <c r="J167" s="3" t="s">
        <v>31</v>
      </c>
      <c r="K167" s="7" t="s">
        <v>52</v>
      </c>
      <c r="L167" s="9">
        <v>8</v>
      </c>
      <c r="M167" s="9">
        <v>0</v>
      </c>
      <c r="N167" s="9">
        <f t="shared" si="10"/>
        <v>8</v>
      </c>
      <c r="O167" s="9"/>
      <c r="P167" s="9"/>
      <c r="Q167" s="25"/>
      <c r="R167" s="11">
        <v>0</v>
      </c>
      <c r="S167" s="1">
        <v>0.15</v>
      </c>
      <c r="T167" s="1">
        <f t="shared" si="11"/>
        <v>0.15</v>
      </c>
      <c r="U167" s="12">
        <v>0</v>
      </c>
      <c r="V167" s="13">
        <v>49.288775000000001</v>
      </c>
      <c r="W167" s="14">
        <f t="shared" si="12"/>
        <v>5914.6530000000002</v>
      </c>
      <c r="X167" s="25"/>
      <c r="Y167" s="14">
        <f t="shared" si="13"/>
        <v>5914.6530000000002</v>
      </c>
      <c r="Z167" s="3"/>
      <c r="AA167" s="3"/>
      <c r="AB167" s="5"/>
      <c r="AC167" s="1"/>
      <c r="AD167" s="28"/>
      <c r="AE167" s="28"/>
      <c r="AF167" s="3"/>
      <c r="AG167" s="7"/>
      <c r="AH167" s="7"/>
      <c r="AI167" s="3" t="s">
        <v>75</v>
      </c>
      <c r="AJ167" s="7" t="s">
        <v>76</v>
      </c>
      <c r="AK167" s="3"/>
      <c r="AL167" cm="1">
        <f t="array" ref="AL167">IF(getColor(V167) = 16777215, 0, 1)</f>
        <v>0</v>
      </c>
    </row>
    <row r="168" spans="1:38">
      <c r="A168" s="1">
        <v>167</v>
      </c>
      <c r="B168" s="3" t="s">
        <v>27</v>
      </c>
      <c r="C168" s="7" t="s">
        <v>154</v>
      </c>
      <c r="D168" s="7" t="s">
        <v>74</v>
      </c>
      <c r="E168" s="8">
        <v>56.008333333333333</v>
      </c>
      <c r="F168" s="8">
        <v>-133.58330000000001</v>
      </c>
      <c r="G168" s="9" t="s">
        <v>30</v>
      </c>
      <c r="H168" s="3" t="s">
        <v>31</v>
      </c>
      <c r="I168" s="3" t="s">
        <v>31</v>
      </c>
      <c r="J168" s="3" t="s">
        <v>31</v>
      </c>
      <c r="K168" s="7" t="s">
        <v>77</v>
      </c>
      <c r="L168" s="9">
        <v>0</v>
      </c>
      <c r="M168" s="9">
        <v>18</v>
      </c>
      <c r="N168" s="9">
        <f t="shared" si="10"/>
        <v>18</v>
      </c>
      <c r="O168" s="9"/>
      <c r="P168" s="9"/>
      <c r="Q168" s="25"/>
      <c r="R168" s="11">
        <v>0</v>
      </c>
      <c r="S168" s="1">
        <v>1.19</v>
      </c>
      <c r="T168" s="1">
        <f t="shared" si="11"/>
        <v>1.19</v>
      </c>
      <c r="U168" s="12">
        <v>19</v>
      </c>
      <c r="V168" s="13">
        <v>10.562569999999999</v>
      </c>
      <c r="W168" s="14">
        <f t="shared" si="12"/>
        <v>18326.270201400002</v>
      </c>
      <c r="X168" s="25"/>
      <c r="Y168" s="14">
        <f t="shared" si="13"/>
        <v>18326.270201400002</v>
      </c>
      <c r="Z168" s="3"/>
      <c r="AA168" s="3"/>
      <c r="AB168" s="5"/>
      <c r="AC168" s="1"/>
      <c r="AD168" s="28"/>
      <c r="AE168" s="28"/>
      <c r="AF168" s="3"/>
      <c r="AG168" s="7"/>
      <c r="AH168" s="7"/>
      <c r="AI168" s="3" t="s">
        <v>75</v>
      </c>
      <c r="AJ168" s="7" t="s">
        <v>78</v>
      </c>
      <c r="AK168" s="3"/>
      <c r="AL168" cm="1">
        <f t="array" ref="AL168">IF(getColor(V168) = 16777215, 0, 1)</f>
        <v>0</v>
      </c>
    </row>
    <row r="169" spans="1:38">
      <c r="A169" s="1">
        <v>168</v>
      </c>
      <c r="B169" s="3" t="s">
        <v>27</v>
      </c>
      <c r="C169" s="7" t="s">
        <v>154</v>
      </c>
      <c r="D169" s="7" t="s">
        <v>74</v>
      </c>
      <c r="E169" s="8">
        <v>56.008333333333333</v>
      </c>
      <c r="F169" s="8">
        <v>-133.58330000000001</v>
      </c>
      <c r="G169" s="9" t="s">
        <v>30</v>
      </c>
      <c r="H169" s="3" t="s">
        <v>31</v>
      </c>
      <c r="I169" s="3" t="s">
        <v>31</v>
      </c>
      <c r="J169" s="3" t="s">
        <v>31</v>
      </c>
      <c r="K169" s="7" t="s">
        <v>79</v>
      </c>
      <c r="L169" s="9">
        <v>18</v>
      </c>
      <c r="M169" s="9">
        <v>51</v>
      </c>
      <c r="N169" s="9">
        <f t="shared" si="10"/>
        <v>33</v>
      </c>
      <c r="O169" s="9"/>
      <c r="P169" s="9"/>
      <c r="Q169" s="25"/>
      <c r="R169" s="11">
        <v>0</v>
      </c>
      <c r="S169" s="1">
        <v>1.19</v>
      </c>
      <c r="T169" s="1">
        <f t="shared" si="11"/>
        <v>1.19</v>
      </c>
      <c r="U169" s="12">
        <v>5</v>
      </c>
      <c r="V169" s="13">
        <v>4.4123350000000006</v>
      </c>
      <c r="W169" s="14">
        <f t="shared" si="12"/>
        <v>16460.877567749998</v>
      </c>
      <c r="X169" s="25"/>
      <c r="Y169" s="14">
        <f t="shared" si="13"/>
        <v>16460.877567749998</v>
      </c>
      <c r="Z169" s="3"/>
      <c r="AA169" s="3"/>
      <c r="AB169" s="5"/>
      <c r="AC169" s="1"/>
      <c r="AD169" s="28"/>
      <c r="AE169" s="28"/>
      <c r="AF169" s="3"/>
      <c r="AG169" s="7"/>
      <c r="AH169" s="7"/>
      <c r="AI169" s="3" t="s">
        <v>75</v>
      </c>
      <c r="AJ169" s="7" t="s">
        <v>79</v>
      </c>
      <c r="AK169" s="3"/>
      <c r="AL169" cm="1">
        <f t="array" ref="AL169">IF(getColor(V169) = 16777215, 0, 1)</f>
        <v>0</v>
      </c>
    </row>
    <row r="170" spans="1:38">
      <c r="A170" s="1">
        <v>169</v>
      </c>
      <c r="B170" s="3" t="s">
        <v>27</v>
      </c>
      <c r="C170" s="7" t="s">
        <v>155</v>
      </c>
      <c r="D170" s="7" t="s">
        <v>156</v>
      </c>
      <c r="E170" s="8">
        <v>56.072155555555554</v>
      </c>
      <c r="F170" s="8">
        <v>-131.97632222222222</v>
      </c>
      <c r="G170" s="9" t="s">
        <v>30</v>
      </c>
      <c r="H170" s="3" t="s">
        <v>31</v>
      </c>
      <c r="I170" s="3" t="s">
        <v>31</v>
      </c>
      <c r="J170" s="3" t="s">
        <v>31</v>
      </c>
      <c r="K170" s="7" t="s">
        <v>53</v>
      </c>
      <c r="L170" s="9">
        <v>3</v>
      </c>
      <c r="M170" s="9">
        <v>0</v>
      </c>
      <c r="N170" s="9">
        <f t="shared" si="10"/>
        <v>3</v>
      </c>
      <c r="O170" s="29">
        <f>M175</f>
        <v>152</v>
      </c>
      <c r="P170" s="29">
        <f>L170</f>
        <v>3</v>
      </c>
      <c r="Q170" s="29">
        <f>P170+O170</f>
        <v>155</v>
      </c>
      <c r="R170" s="11">
        <v>0</v>
      </c>
      <c r="S170" s="1">
        <v>0.11</v>
      </c>
      <c r="T170" s="1">
        <f t="shared" si="11"/>
        <v>0.11</v>
      </c>
      <c r="U170" s="12">
        <v>0</v>
      </c>
      <c r="V170" s="31">
        <v>37.79128262471886</v>
      </c>
      <c r="W170" s="14">
        <f t="shared" si="12"/>
        <v>1247.1123266157222</v>
      </c>
      <c r="X170" s="14">
        <f>SUM(W170:W175)</f>
        <v>105109.38643761573</v>
      </c>
      <c r="Y170" s="14">
        <f t="shared" si="13"/>
        <v>1247.1123266157222</v>
      </c>
      <c r="Z170" s="15">
        <f>SUM(Y170:Y175)/10^6*10^4</f>
        <v>747.61064381615745</v>
      </c>
      <c r="AA170" s="16">
        <v>48.447567364969736</v>
      </c>
      <c r="AB170" s="5"/>
      <c r="AC170" s="1"/>
      <c r="AD170" s="28"/>
      <c r="AE170" s="28"/>
      <c r="AF170" s="3"/>
      <c r="AG170" s="7"/>
      <c r="AH170" s="7"/>
      <c r="AI170" s="3" t="s">
        <v>107</v>
      </c>
      <c r="AJ170" s="7" t="s">
        <v>53</v>
      </c>
      <c r="AK170" s="3"/>
      <c r="AL170" cm="1">
        <f t="array" ref="AL170">IF(getColor(V170) = 16777215, 0, 1)</f>
        <v>1</v>
      </c>
    </row>
    <row r="171" spans="1:38">
      <c r="A171" s="1">
        <v>170</v>
      </c>
      <c r="B171" s="3" t="s">
        <v>27</v>
      </c>
      <c r="C171" s="7" t="s">
        <v>155</v>
      </c>
      <c r="D171" s="7" t="s">
        <v>156</v>
      </c>
      <c r="E171" s="8">
        <v>56.072155555555554</v>
      </c>
      <c r="F171" s="8">
        <v>-131.97632222222222</v>
      </c>
      <c r="G171" s="9" t="s">
        <v>30</v>
      </c>
      <c r="H171" s="3" t="s">
        <v>31</v>
      </c>
      <c r="I171" s="3" t="s">
        <v>31</v>
      </c>
      <c r="J171" s="3" t="s">
        <v>31</v>
      </c>
      <c r="K171" s="7" t="s">
        <v>47</v>
      </c>
      <c r="L171" s="9">
        <v>0</v>
      </c>
      <c r="M171" s="9">
        <v>2</v>
      </c>
      <c r="N171" s="9">
        <f t="shared" si="10"/>
        <v>2</v>
      </c>
      <c r="O171" s="9"/>
      <c r="P171" s="9"/>
      <c r="Q171" s="25"/>
      <c r="R171" s="11">
        <v>0</v>
      </c>
      <c r="S171" s="1">
        <v>0.93</v>
      </c>
      <c r="T171" s="1">
        <f t="shared" si="11"/>
        <v>0.93</v>
      </c>
      <c r="U171" s="12">
        <v>0</v>
      </c>
      <c r="V171" s="13">
        <v>4.8661200000000004</v>
      </c>
      <c r="W171" s="14">
        <f t="shared" si="12"/>
        <v>905.09832000000006</v>
      </c>
      <c r="X171" s="25"/>
      <c r="Y171" s="14">
        <f t="shared" si="13"/>
        <v>905.09832000000006</v>
      </c>
      <c r="Z171" s="3"/>
      <c r="AA171" s="3"/>
      <c r="AB171" s="5"/>
      <c r="AC171" s="5"/>
      <c r="AD171" s="32"/>
      <c r="AE171" s="32"/>
      <c r="AF171" s="3"/>
      <c r="AG171" s="7"/>
      <c r="AH171" s="7"/>
      <c r="AI171" s="3" t="s">
        <v>107</v>
      </c>
      <c r="AJ171" s="7" t="s">
        <v>47</v>
      </c>
      <c r="AK171" s="3"/>
      <c r="AL171" cm="1">
        <f t="array" ref="AL171">IF(getColor(V171) = 16777215, 0, 1)</f>
        <v>0</v>
      </c>
    </row>
    <row r="172" spans="1:38">
      <c r="A172" s="1">
        <v>171</v>
      </c>
      <c r="B172" s="3" t="s">
        <v>27</v>
      </c>
      <c r="C172" s="7" t="s">
        <v>155</v>
      </c>
      <c r="D172" s="7" t="s">
        <v>156</v>
      </c>
      <c r="E172" s="8">
        <v>56.072155555555554</v>
      </c>
      <c r="F172" s="8">
        <v>-131.97632222222222</v>
      </c>
      <c r="G172" s="9" t="s">
        <v>30</v>
      </c>
      <c r="H172" s="3" t="s">
        <v>31</v>
      </c>
      <c r="I172" s="3" t="s">
        <v>31</v>
      </c>
      <c r="J172" s="3" t="s">
        <v>31</v>
      </c>
      <c r="K172" s="7" t="s">
        <v>108</v>
      </c>
      <c r="L172" s="9">
        <v>2</v>
      </c>
      <c r="M172" s="9">
        <v>15</v>
      </c>
      <c r="N172" s="9">
        <f t="shared" si="10"/>
        <v>13</v>
      </c>
      <c r="O172" s="9"/>
      <c r="P172" s="9"/>
      <c r="Q172" s="25"/>
      <c r="R172" s="11">
        <v>0</v>
      </c>
      <c r="S172" s="1">
        <v>1.71</v>
      </c>
      <c r="T172" s="1">
        <f t="shared" si="11"/>
        <v>1.71</v>
      </c>
      <c r="U172" s="12">
        <v>0</v>
      </c>
      <c r="V172" s="13">
        <v>6.7778099999999997</v>
      </c>
      <c r="W172" s="14">
        <f t="shared" si="12"/>
        <v>15067.07163</v>
      </c>
      <c r="X172" s="25"/>
      <c r="Y172" s="14">
        <f t="shared" si="13"/>
        <v>15067.07163</v>
      </c>
      <c r="Z172" s="3"/>
      <c r="AA172" s="3"/>
      <c r="AB172" s="5"/>
      <c r="AC172" s="1"/>
      <c r="AD172" s="28"/>
      <c r="AE172" s="28"/>
      <c r="AF172" s="3"/>
      <c r="AG172" s="7"/>
      <c r="AH172" s="7"/>
      <c r="AI172" s="3" t="s">
        <v>107</v>
      </c>
      <c r="AJ172" s="7" t="s">
        <v>108</v>
      </c>
      <c r="AK172" s="3"/>
      <c r="AL172" cm="1">
        <f t="array" ref="AL172">IF(getColor(V172) = 16777215, 0, 1)</f>
        <v>0</v>
      </c>
    </row>
    <row r="173" spans="1:38">
      <c r="A173" s="1">
        <v>172</v>
      </c>
      <c r="B173" s="3" t="s">
        <v>27</v>
      </c>
      <c r="C173" s="7" t="s">
        <v>155</v>
      </c>
      <c r="D173" s="7" t="s">
        <v>156</v>
      </c>
      <c r="E173" s="8">
        <v>56.072155555555554</v>
      </c>
      <c r="F173" s="8">
        <v>-131.97632222222222</v>
      </c>
      <c r="G173" s="9" t="s">
        <v>30</v>
      </c>
      <c r="H173" s="3" t="s">
        <v>31</v>
      </c>
      <c r="I173" s="3" t="s">
        <v>31</v>
      </c>
      <c r="J173" s="3" t="s">
        <v>31</v>
      </c>
      <c r="K173" s="7" t="s">
        <v>108</v>
      </c>
      <c r="L173" s="9">
        <v>15</v>
      </c>
      <c r="M173" s="9">
        <v>33</v>
      </c>
      <c r="N173" s="9">
        <f t="shared" si="10"/>
        <v>18</v>
      </c>
      <c r="O173" s="9"/>
      <c r="P173" s="9"/>
      <c r="Q173" s="25"/>
      <c r="R173" s="11">
        <v>0</v>
      </c>
      <c r="S173" s="1">
        <v>1.71</v>
      </c>
      <c r="T173" s="1">
        <f t="shared" si="11"/>
        <v>1.71</v>
      </c>
      <c r="U173" s="12">
        <v>15</v>
      </c>
      <c r="V173" s="13">
        <v>6.1405800000000008</v>
      </c>
      <c r="W173" s="14">
        <f t="shared" si="12"/>
        <v>16065.599454000003</v>
      </c>
      <c r="X173" s="25"/>
      <c r="Y173" s="14">
        <f t="shared" si="13"/>
        <v>16065.599454000003</v>
      </c>
      <c r="Z173" s="3"/>
      <c r="AA173" s="3"/>
      <c r="AB173" s="5"/>
      <c r="AC173" s="1"/>
      <c r="AD173" s="28"/>
      <c r="AE173" s="28"/>
      <c r="AF173" s="3"/>
      <c r="AG173" s="7"/>
      <c r="AH173" s="7"/>
      <c r="AI173" s="3" t="s">
        <v>107</v>
      </c>
      <c r="AJ173" s="7" t="s">
        <v>108</v>
      </c>
      <c r="AK173" s="3"/>
      <c r="AL173" cm="1">
        <f t="array" ref="AL173">IF(getColor(V173) = 16777215, 0, 1)</f>
        <v>0</v>
      </c>
    </row>
    <row r="174" spans="1:38">
      <c r="A174" s="1">
        <v>173</v>
      </c>
      <c r="B174" s="3" t="s">
        <v>27</v>
      </c>
      <c r="C174" s="7" t="s">
        <v>155</v>
      </c>
      <c r="D174" s="7" t="s">
        <v>156</v>
      </c>
      <c r="E174" s="8">
        <v>56.072155555555554</v>
      </c>
      <c r="F174" s="8">
        <v>-131.97632222222222</v>
      </c>
      <c r="G174" s="9" t="s">
        <v>30</v>
      </c>
      <c r="H174" s="3" t="s">
        <v>31</v>
      </c>
      <c r="I174" s="3" t="s">
        <v>31</v>
      </c>
      <c r="J174" s="3" t="s">
        <v>31</v>
      </c>
      <c r="K174" s="7" t="s">
        <v>109</v>
      </c>
      <c r="L174" s="9">
        <v>33</v>
      </c>
      <c r="M174" s="9">
        <v>58</v>
      </c>
      <c r="N174" s="9">
        <f t="shared" si="10"/>
        <v>25</v>
      </c>
      <c r="O174" s="9"/>
      <c r="P174" s="9"/>
      <c r="Q174" s="25"/>
      <c r="R174" s="11">
        <v>0</v>
      </c>
      <c r="S174" s="1">
        <v>1.71</v>
      </c>
      <c r="T174" s="1">
        <f t="shared" si="11"/>
        <v>1.71</v>
      </c>
      <c r="U174" s="12">
        <v>25</v>
      </c>
      <c r="V174" s="13">
        <v>5.2909400000000009</v>
      </c>
      <c r="W174" s="14">
        <f t="shared" si="12"/>
        <v>16964.076375000001</v>
      </c>
      <c r="X174" s="25"/>
      <c r="Y174" s="14">
        <f t="shared" si="13"/>
        <v>16964.076375000001</v>
      </c>
      <c r="Z174" s="3"/>
      <c r="AA174" s="3"/>
      <c r="AB174" s="5"/>
      <c r="AC174" s="1"/>
      <c r="AD174" s="28"/>
      <c r="AE174" s="28"/>
      <c r="AF174" s="3"/>
      <c r="AG174" s="7"/>
      <c r="AH174" s="7"/>
      <c r="AI174" s="3" t="s">
        <v>107</v>
      </c>
      <c r="AJ174" s="7" t="s">
        <v>109</v>
      </c>
      <c r="AK174" s="3"/>
      <c r="AL174" cm="1">
        <f t="array" ref="AL174">IF(getColor(V174) = 16777215, 0, 1)</f>
        <v>0</v>
      </c>
    </row>
    <row r="175" spans="1:38">
      <c r="A175" s="1">
        <v>174</v>
      </c>
      <c r="B175" s="3" t="s">
        <v>27</v>
      </c>
      <c r="C175" s="7" t="s">
        <v>155</v>
      </c>
      <c r="D175" s="7" t="s">
        <v>156</v>
      </c>
      <c r="E175" s="8">
        <v>56.072155555555554</v>
      </c>
      <c r="F175" s="8">
        <v>-131.97632222222222</v>
      </c>
      <c r="G175" s="9" t="s">
        <v>30</v>
      </c>
      <c r="H175" s="3" t="s">
        <v>31</v>
      </c>
      <c r="I175" s="3" t="s">
        <v>31</v>
      </c>
      <c r="J175" s="3" t="s">
        <v>31</v>
      </c>
      <c r="K175" s="7" t="s">
        <v>44</v>
      </c>
      <c r="L175" s="9">
        <v>58</v>
      </c>
      <c r="M175" s="9">
        <v>152</v>
      </c>
      <c r="N175" s="9">
        <f t="shared" si="10"/>
        <v>94</v>
      </c>
      <c r="O175" s="9"/>
      <c r="P175" s="9"/>
      <c r="Q175" s="25"/>
      <c r="R175" s="11">
        <v>0</v>
      </c>
      <c r="S175" s="1">
        <v>1.74</v>
      </c>
      <c r="T175" s="1">
        <f t="shared" si="11"/>
        <v>1.74</v>
      </c>
      <c r="U175" s="12">
        <v>40</v>
      </c>
      <c r="V175" s="13">
        <v>5.5902450000000004</v>
      </c>
      <c r="W175" s="14">
        <f t="shared" si="12"/>
        <v>54860.428332000003</v>
      </c>
      <c r="X175" s="25"/>
      <c r="Y175" s="14">
        <f>IF(L175&gt;-100,W175-W175*(ABS(M175)-100)/(ABS(M175)-ABS(L175)),0)</f>
        <v>24512.106276000002</v>
      </c>
      <c r="Z175" s="3"/>
      <c r="AA175" s="3"/>
      <c r="AB175" s="5"/>
      <c r="AC175" s="1"/>
      <c r="AD175" s="28"/>
      <c r="AE175" s="28"/>
      <c r="AF175" s="3"/>
      <c r="AG175" s="7"/>
      <c r="AH175" s="7"/>
      <c r="AI175" s="3" t="s">
        <v>107</v>
      </c>
      <c r="AJ175" s="7" t="s">
        <v>44</v>
      </c>
      <c r="AK175" s="3"/>
      <c r="AL175" cm="1">
        <f t="array" ref="AL175">IF(getColor(V175) = 16777215, 0, 1)</f>
        <v>0</v>
      </c>
    </row>
    <row r="176" spans="1:38">
      <c r="A176" s="1">
        <v>175</v>
      </c>
      <c r="B176" s="3" t="s">
        <v>27</v>
      </c>
      <c r="C176" s="7" t="s">
        <v>157</v>
      </c>
      <c r="D176" s="7" t="s">
        <v>158</v>
      </c>
      <c r="E176" s="8">
        <v>56.072155555555554</v>
      </c>
      <c r="F176" s="8">
        <v>-131.97493333333333</v>
      </c>
      <c r="G176" s="9" t="s">
        <v>30</v>
      </c>
      <c r="H176" s="3" t="s">
        <v>31</v>
      </c>
      <c r="I176" s="3" t="s">
        <v>31</v>
      </c>
      <c r="J176" s="3" t="s">
        <v>31</v>
      </c>
      <c r="K176" s="7" t="s">
        <v>53</v>
      </c>
      <c r="L176" s="9">
        <v>23</v>
      </c>
      <c r="M176" s="9">
        <v>0</v>
      </c>
      <c r="N176" s="9">
        <f t="shared" si="10"/>
        <v>23</v>
      </c>
      <c r="O176" s="29">
        <f>M181</f>
        <v>152</v>
      </c>
      <c r="P176" s="29">
        <f>L176</f>
        <v>23</v>
      </c>
      <c r="Q176" s="29">
        <f>P176+O176</f>
        <v>175</v>
      </c>
      <c r="R176" s="11">
        <v>0</v>
      </c>
      <c r="S176" s="1">
        <v>0.11</v>
      </c>
      <c r="T176" s="1">
        <f t="shared" si="11"/>
        <v>0.11</v>
      </c>
      <c r="U176" s="12">
        <v>0</v>
      </c>
      <c r="V176" s="13">
        <v>28.887760000000004</v>
      </c>
      <c r="W176" s="14">
        <f t="shared" si="12"/>
        <v>7308.603280000003</v>
      </c>
      <c r="X176" s="14">
        <f>SUM(W176:W181)</f>
        <v>30800.706115500005</v>
      </c>
      <c r="Y176" s="14">
        <f>T176*V176/100*N176*100*100*((100-U176)/100)</f>
        <v>7308.603280000003</v>
      </c>
      <c r="Z176" s="15">
        <f>SUM(Y176:Y181)/10^6*10^4</f>
        <v>273.806231895</v>
      </c>
      <c r="AA176" s="16">
        <v>65.769637998447436</v>
      </c>
      <c r="AB176" s="5"/>
      <c r="AC176" s="1"/>
      <c r="AD176" s="28"/>
      <c r="AE176" s="28"/>
      <c r="AF176" s="3"/>
      <c r="AG176" s="7"/>
      <c r="AH176" s="7"/>
      <c r="AI176" s="3" t="s">
        <v>59</v>
      </c>
      <c r="AJ176" s="7" t="s">
        <v>53</v>
      </c>
      <c r="AK176" s="3"/>
      <c r="AL176" cm="1">
        <f t="array" ref="AL176">IF(getColor(V176) = 16777215, 0, 1)</f>
        <v>0</v>
      </c>
    </row>
    <row r="177" spans="1:38">
      <c r="A177" s="1">
        <v>176</v>
      </c>
      <c r="B177" s="3" t="s">
        <v>27</v>
      </c>
      <c r="C177" s="7" t="s">
        <v>157</v>
      </c>
      <c r="D177" s="7" t="s">
        <v>158</v>
      </c>
      <c r="E177" s="8">
        <v>56.072155555555554</v>
      </c>
      <c r="F177" s="8">
        <v>-131.97493333333333</v>
      </c>
      <c r="G177" s="9" t="s">
        <v>30</v>
      </c>
      <c r="H177" s="3" t="s">
        <v>31</v>
      </c>
      <c r="I177" s="3" t="s">
        <v>31</v>
      </c>
      <c r="J177" s="3" t="s">
        <v>31</v>
      </c>
      <c r="K177" s="7" t="s">
        <v>87</v>
      </c>
      <c r="L177" s="9">
        <v>0</v>
      </c>
      <c r="M177" s="9">
        <v>5</v>
      </c>
      <c r="N177" s="9">
        <f t="shared" si="10"/>
        <v>5</v>
      </c>
      <c r="O177" s="9"/>
      <c r="P177" s="9"/>
      <c r="Q177" s="25"/>
      <c r="R177" s="11">
        <v>0</v>
      </c>
      <c r="S177" s="1">
        <v>0.93</v>
      </c>
      <c r="T177" s="1">
        <f t="shared" si="11"/>
        <v>0.93</v>
      </c>
      <c r="U177" s="12">
        <v>5</v>
      </c>
      <c r="V177" s="13">
        <v>3.0123600000000001</v>
      </c>
      <c r="W177" s="14">
        <f t="shared" si="12"/>
        <v>1330.7100300000004</v>
      </c>
      <c r="X177" s="25"/>
      <c r="Y177" s="14">
        <f>T177*V177/100*N177*100*100*((100-U177)/100)</f>
        <v>1330.7100300000004</v>
      </c>
      <c r="Z177" s="3"/>
      <c r="AA177" s="3"/>
      <c r="AB177" s="5"/>
      <c r="AC177" s="5"/>
      <c r="AD177" s="28"/>
      <c r="AE177" s="28"/>
      <c r="AF177" s="3"/>
      <c r="AG177" s="7"/>
      <c r="AH177" s="7"/>
      <c r="AI177" s="3" t="s">
        <v>59</v>
      </c>
      <c r="AJ177" s="7" t="s">
        <v>87</v>
      </c>
      <c r="AK177" s="3"/>
      <c r="AL177" cm="1">
        <f t="array" ref="AL177">IF(getColor(V177) = 16777215, 0, 1)</f>
        <v>0</v>
      </c>
    </row>
    <row r="178" spans="1:38">
      <c r="A178" s="1">
        <v>177</v>
      </c>
      <c r="B178" s="3" t="s">
        <v>27</v>
      </c>
      <c r="C178" s="7" t="s">
        <v>157</v>
      </c>
      <c r="D178" s="7" t="s">
        <v>158</v>
      </c>
      <c r="E178" s="8">
        <v>56.072155555555554</v>
      </c>
      <c r="F178" s="8">
        <v>-131.97493333333333</v>
      </c>
      <c r="G178" s="9" t="s">
        <v>30</v>
      </c>
      <c r="H178" s="3" t="s">
        <v>31</v>
      </c>
      <c r="I178" s="3" t="s">
        <v>31</v>
      </c>
      <c r="J178" s="3" t="s">
        <v>31</v>
      </c>
      <c r="K178" s="7" t="s">
        <v>159</v>
      </c>
      <c r="L178" s="9">
        <v>5</v>
      </c>
      <c r="M178" s="9">
        <v>15</v>
      </c>
      <c r="N178" s="9">
        <f t="shared" si="10"/>
        <v>10</v>
      </c>
      <c r="O178" s="9"/>
      <c r="P178" s="9"/>
      <c r="Q178" s="25"/>
      <c r="R178" s="11">
        <v>0</v>
      </c>
      <c r="S178" s="1">
        <v>0.86</v>
      </c>
      <c r="T178" s="1">
        <f t="shared" si="11"/>
        <v>0.86</v>
      </c>
      <c r="U178" s="12">
        <v>3</v>
      </c>
      <c r="V178" s="13">
        <v>6.9322900000000001</v>
      </c>
      <c r="W178" s="14">
        <f t="shared" si="12"/>
        <v>5782.9163179999996</v>
      </c>
      <c r="X178" s="25"/>
      <c r="Y178" s="14">
        <f>T178*V178/100*N178*100*100*((100-U178)/100)</f>
        <v>5782.9163179999996</v>
      </c>
      <c r="Z178" s="3"/>
      <c r="AA178" s="3"/>
      <c r="AB178" s="5"/>
      <c r="AC178" s="1"/>
      <c r="AD178" s="28"/>
      <c r="AE178" s="28"/>
      <c r="AF178" s="3"/>
      <c r="AG178" s="7"/>
      <c r="AH178" s="7"/>
      <c r="AI178" s="3" t="s">
        <v>59</v>
      </c>
      <c r="AJ178" s="7" t="s">
        <v>159</v>
      </c>
      <c r="AK178" s="3"/>
      <c r="AL178" cm="1">
        <f t="array" ref="AL178">IF(getColor(V178) = 16777215, 0, 1)</f>
        <v>0</v>
      </c>
    </row>
    <row r="179" spans="1:38">
      <c r="A179" s="1">
        <v>178</v>
      </c>
      <c r="B179" s="3" t="s">
        <v>27</v>
      </c>
      <c r="C179" s="7" t="s">
        <v>157</v>
      </c>
      <c r="D179" s="7" t="s">
        <v>158</v>
      </c>
      <c r="E179" s="8">
        <v>56.072155555555554</v>
      </c>
      <c r="F179" s="8">
        <v>-131.97493333333333</v>
      </c>
      <c r="G179" s="9" t="s">
        <v>30</v>
      </c>
      <c r="H179" s="3" t="s">
        <v>31</v>
      </c>
      <c r="I179" s="3" t="s">
        <v>31</v>
      </c>
      <c r="J179" s="3" t="s">
        <v>31</v>
      </c>
      <c r="K179" s="7" t="s">
        <v>160</v>
      </c>
      <c r="L179" s="9">
        <v>15</v>
      </c>
      <c r="M179" s="9">
        <v>30</v>
      </c>
      <c r="N179" s="9">
        <f t="shared" si="10"/>
        <v>15</v>
      </c>
      <c r="O179" s="9"/>
      <c r="P179" s="9"/>
      <c r="Q179" s="25"/>
      <c r="R179" s="11">
        <v>0</v>
      </c>
      <c r="S179" s="1">
        <v>0.86</v>
      </c>
      <c r="T179" s="1">
        <f t="shared" si="11"/>
        <v>0.86</v>
      </c>
      <c r="U179" s="12">
        <v>5</v>
      </c>
      <c r="V179" s="13">
        <v>4.5957799999999995</v>
      </c>
      <c r="W179" s="14">
        <f t="shared" si="12"/>
        <v>5632.1283899999989</v>
      </c>
      <c r="X179" s="25"/>
      <c r="Y179" s="14">
        <f>T179*V179/100*N179*100*100*((100-U179)/100)</f>
        <v>5632.1283899999989</v>
      </c>
      <c r="Z179" s="3"/>
      <c r="AA179" s="3"/>
      <c r="AB179" s="5"/>
      <c r="AC179" s="1"/>
      <c r="AD179" s="28"/>
      <c r="AE179" s="28"/>
      <c r="AF179" s="3"/>
      <c r="AG179" s="7"/>
      <c r="AH179" s="7"/>
      <c r="AI179" s="3" t="s">
        <v>59</v>
      </c>
      <c r="AJ179" s="7" t="s">
        <v>160</v>
      </c>
      <c r="AK179" s="3"/>
      <c r="AL179" cm="1">
        <f t="array" ref="AL179">IF(getColor(V179) = 16777215, 0, 1)</f>
        <v>0</v>
      </c>
    </row>
    <row r="180" spans="1:38">
      <c r="A180" s="1">
        <v>179</v>
      </c>
      <c r="B180" s="3" t="s">
        <v>27</v>
      </c>
      <c r="C180" s="7" t="s">
        <v>157</v>
      </c>
      <c r="D180" s="7" t="s">
        <v>158</v>
      </c>
      <c r="E180" s="8">
        <v>56.072155555555554</v>
      </c>
      <c r="F180" s="8">
        <v>-131.97493333333333</v>
      </c>
      <c r="G180" s="9" t="s">
        <v>30</v>
      </c>
      <c r="H180" s="3" t="s">
        <v>31</v>
      </c>
      <c r="I180" s="3" t="s">
        <v>31</v>
      </c>
      <c r="J180" s="3" t="s">
        <v>31</v>
      </c>
      <c r="K180" s="7" t="s">
        <v>41</v>
      </c>
      <c r="L180" s="9">
        <v>30</v>
      </c>
      <c r="M180" s="9">
        <v>43</v>
      </c>
      <c r="N180" s="9">
        <f t="shared" si="10"/>
        <v>13</v>
      </c>
      <c r="O180" s="9"/>
      <c r="P180" s="9"/>
      <c r="Q180" s="25"/>
      <c r="R180" s="11">
        <v>0</v>
      </c>
      <c r="S180" s="1">
        <v>1.17</v>
      </c>
      <c r="T180" s="1">
        <f t="shared" si="11"/>
        <v>1.17</v>
      </c>
      <c r="U180" s="12">
        <v>13</v>
      </c>
      <c r="V180" s="13">
        <v>2.7033999999999998</v>
      </c>
      <c r="W180" s="14">
        <f t="shared" si="12"/>
        <v>3577.3281179999999</v>
      </c>
      <c r="X180" s="25"/>
      <c r="Y180" s="14">
        <f>T180*V180/100*N180*100*100*((100-U180)/100)</f>
        <v>3577.3281179999999</v>
      </c>
      <c r="Z180" s="3"/>
      <c r="AA180" s="3"/>
      <c r="AB180" s="5"/>
      <c r="AC180" s="1"/>
      <c r="AD180" s="28"/>
      <c r="AE180" s="28"/>
      <c r="AF180" s="3"/>
      <c r="AG180" s="7"/>
      <c r="AH180" s="7"/>
      <c r="AI180" s="3" t="s">
        <v>59</v>
      </c>
      <c r="AJ180" s="7" t="s">
        <v>61</v>
      </c>
      <c r="AK180" s="3"/>
      <c r="AL180" cm="1">
        <f t="array" ref="AL180">IF(getColor(V180) = 16777215, 0, 1)</f>
        <v>0</v>
      </c>
    </row>
    <row r="181" spans="1:38">
      <c r="A181" s="1">
        <v>180</v>
      </c>
      <c r="B181" s="3" t="s">
        <v>27</v>
      </c>
      <c r="C181" s="7" t="s">
        <v>157</v>
      </c>
      <c r="D181" s="7" t="s">
        <v>158</v>
      </c>
      <c r="E181" s="8">
        <v>56.072155555555554</v>
      </c>
      <c r="F181" s="8">
        <v>-131.97493333333333</v>
      </c>
      <c r="G181" s="9" t="s">
        <v>30</v>
      </c>
      <c r="H181" s="3" t="s">
        <v>31</v>
      </c>
      <c r="I181" s="3" t="s">
        <v>31</v>
      </c>
      <c r="J181" s="3" t="s">
        <v>31</v>
      </c>
      <c r="K181" s="7" t="s">
        <v>44</v>
      </c>
      <c r="L181" s="9">
        <v>43</v>
      </c>
      <c r="M181" s="9">
        <v>152</v>
      </c>
      <c r="N181" s="9">
        <f t="shared" si="10"/>
        <v>109</v>
      </c>
      <c r="O181" s="9"/>
      <c r="P181" s="9"/>
      <c r="Q181" s="25"/>
      <c r="R181" s="11">
        <v>0</v>
      </c>
      <c r="S181" s="1">
        <v>1.74</v>
      </c>
      <c r="T181" s="1">
        <f t="shared" si="11"/>
        <v>1.74</v>
      </c>
      <c r="U181" s="12">
        <v>13</v>
      </c>
      <c r="V181" s="13">
        <v>0.434475</v>
      </c>
      <c r="W181" s="14">
        <f t="shared" si="12"/>
        <v>7169.019979499999</v>
      </c>
      <c r="X181" s="25"/>
      <c r="Y181" s="14">
        <f>IF(L181&gt;-100,W181-W181*(ABS(M181)-100)/(ABS(M181)-ABS(L181)),0)</f>
        <v>3748.9370534999994</v>
      </c>
      <c r="Z181" s="3"/>
      <c r="AA181" s="3"/>
      <c r="AB181" s="5"/>
      <c r="AC181" s="1"/>
      <c r="AD181" s="28"/>
      <c r="AE181" s="28"/>
      <c r="AF181" s="3"/>
      <c r="AG181" s="7"/>
      <c r="AH181" s="7"/>
      <c r="AI181" s="3" t="s">
        <v>59</v>
      </c>
      <c r="AJ181" s="7" t="s">
        <v>44</v>
      </c>
      <c r="AK181" s="3"/>
      <c r="AL181" cm="1">
        <f t="array" ref="AL181">IF(getColor(V181) = 16777215, 0, 1)</f>
        <v>0</v>
      </c>
    </row>
    <row r="182" spans="1:38">
      <c r="A182" s="1">
        <v>181</v>
      </c>
      <c r="B182" s="3" t="s">
        <v>27</v>
      </c>
      <c r="C182" s="7" t="s">
        <v>161</v>
      </c>
      <c r="D182" s="7" t="s">
        <v>162</v>
      </c>
      <c r="E182" s="8">
        <v>56.191633333333336</v>
      </c>
      <c r="F182" s="8">
        <v>-133.5291</v>
      </c>
      <c r="G182" s="9" t="s">
        <v>30</v>
      </c>
      <c r="H182" s="3" t="s">
        <v>31</v>
      </c>
      <c r="I182" s="3" t="s">
        <v>31</v>
      </c>
      <c r="J182" s="3" t="s">
        <v>31</v>
      </c>
      <c r="K182" s="7" t="s">
        <v>49</v>
      </c>
      <c r="L182" s="9">
        <v>17</v>
      </c>
      <c r="M182" s="9">
        <v>11</v>
      </c>
      <c r="N182" s="9">
        <f t="shared" si="10"/>
        <v>6</v>
      </c>
      <c r="O182" s="29">
        <f>M189</f>
        <v>107</v>
      </c>
      <c r="P182" s="29">
        <f>L182</f>
        <v>17</v>
      </c>
      <c r="Q182" s="29">
        <f>P182+O182</f>
        <v>124</v>
      </c>
      <c r="R182" s="11">
        <v>0</v>
      </c>
      <c r="S182" s="1">
        <v>0.08</v>
      </c>
      <c r="T182" s="1">
        <f t="shared" si="11"/>
        <v>0.08</v>
      </c>
      <c r="U182" s="12">
        <v>0</v>
      </c>
      <c r="V182" s="31">
        <v>36.66627891666667</v>
      </c>
      <c r="W182" s="14">
        <f t="shared" si="12"/>
        <v>1759.9813880000004</v>
      </c>
      <c r="X182" s="14">
        <f>SUM(W182:W189)</f>
        <v>71869.000567230774</v>
      </c>
      <c r="Y182" s="14">
        <f t="shared" ref="Y182:Y188" si="14">T182*V182/100*N182*100*100*((100-U182)/100)</f>
        <v>1759.9813880000004</v>
      </c>
      <c r="Z182" s="15">
        <f>SUM(Y182:Y189)/10^6*10^4</f>
        <v>711.41672567230762</v>
      </c>
      <c r="AA182" s="16">
        <v>94.886851166457831</v>
      </c>
      <c r="AB182" s="5"/>
      <c r="AC182" s="1"/>
      <c r="AD182" s="28"/>
      <c r="AE182" s="28"/>
      <c r="AF182" s="3"/>
      <c r="AG182" s="7"/>
      <c r="AH182" s="7"/>
      <c r="AI182" s="3" t="s">
        <v>75</v>
      </c>
      <c r="AJ182" s="7" t="s">
        <v>60</v>
      </c>
      <c r="AK182" s="3"/>
      <c r="AL182" cm="1">
        <f t="array" ref="AL182">IF(getColor(V182) = 16777215, 0, 1)</f>
        <v>1</v>
      </c>
    </row>
    <row r="183" spans="1:38">
      <c r="A183" s="1">
        <v>182</v>
      </c>
      <c r="B183" s="3" t="s">
        <v>27</v>
      </c>
      <c r="C183" s="7" t="s">
        <v>161</v>
      </c>
      <c r="D183" s="7" t="s">
        <v>162</v>
      </c>
      <c r="E183" s="8">
        <v>56.191633333333336</v>
      </c>
      <c r="F183" s="8">
        <v>-133.5291</v>
      </c>
      <c r="G183" s="9" t="s">
        <v>30</v>
      </c>
      <c r="H183" s="3" t="s">
        <v>31</v>
      </c>
      <c r="I183" s="3" t="s">
        <v>31</v>
      </c>
      <c r="J183" s="3" t="s">
        <v>31</v>
      </c>
      <c r="K183" s="7" t="s">
        <v>51</v>
      </c>
      <c r="L183" s="9">
        <v>11</v>
      </c>
      <c r="M183" s="9">
        <v>1</v>
      </c>
      <c r="N183" s="9">
        <f t="shared" si="10"/>
        <v>10</v>
      </c>
      <c r="O183" s="9"/>
      <c r="P183" s="9"/>
      <c r="Q183" s="25"/>
      <c r="R183" s="11">
        <v>0</v>
      </c>
      <c r="S183" s="1">
        <v>0.12</v>
      </c>
      <c r="T183" s="1">
        <f t="shared" si="11"/>
        <v>0.12</v>
      </c>
      <c r="U183" s="12">
        <v>4</v>
      </c>
      <c r="V183" s="13">
        <v>46.5</v>
      </c>
      <c r="W183" s="14">
        <f t="shared" si="12"/>
        <v>5356.8</v>
      </c>
      <c r="X183" s="18"/>
      <c r="Y183" s="14">
        <f t="shared" si="14"/>
        <v>5356.8</v>
      </c>
      <c r="Z183" s="3"/>
      <c r="AA183" s="3"/>
      <c r="AB183" s="5"/>
      <c r="AC183" s="5"/>
      <c r="AD183" s="32"/>
      <c r="AE183" s="32"/>
      <c r="AF183" s="3"/>
      <c r="AG183" s="7"/>
      <c r="AH183" s="7"/>
      <c r="AI183" s="3" t="s">
        <v>75</v>
      </c>
      <c r="AJ183" s="7" t="s">
        <v>67</v>
      </c>
      <c r="AK183" s="3"/>
      <c r="AL183" cm="1">
        <f t="array" ref="AL183">IF(getColor(V183) = 16777215, 0, 1)</f>
        <v>0</v>
      </c>
    </row>
    <row r="184" spans="1:38">
      <c r="A184" s="1">
        <v>183</v>
      </c>
      <c r="B184" s="3" t="s">
        <v>27</v>
      </c>
      <c r="C184" s="7" t="s">
        <v>161</v>
      </c>
      <c r="D184" s="7" t="s">
        <v>162</v>
      </c>
      <c r="E184" s="8">
        <v>56.191633333333336</v>
      </c>
      <c r="F184" s="8">
        <v>-133.5291</v>
      </c>
      <c r="G184" s="9" t="s">
        <v>30</v>
      </c>
      <c r="H184" s="3" t="s">
        <v>31</v>
      </c>
      <c r="I184" s="3" t="s">
        <v>31</v>
      </c>
      <c r="J184" s="3" t="s">
        <v>31</v>
      </c>
      <c r="K184" s="7" t="s">
        <v>52</v>
      </c>
      <c r="L184" s="9">
        <v>1</v>
      </c>
      <c r="M184" s="9">
        <v>0</v>
      </c>
      <c r="N184" s="9">
        <f t="shared" si="10"/>
        <v>1</v>
      </c>
      <c r="O184" s="9"/>
      <c r="P184" s="9"/>
      <c r="Q184" s="25"/>
      <c r="R184" s="11">
        <v>0</v>
      </c>
      <c r="S184" s="1">
        <v>0.15</v>
      </c>
      <c r="T184" s="1">
        <f t="shared" si="11"/>
        <v>0.15</v>
      </c>
      <c r="U184" s="12">
        <v>0</v>
      </c>
      <c r="V184" s="31">
        <v>36.068238615384637</v>
      </c>
      <c r="W184" s="14">
        <f t="shared" si="12"/>
        <v>541.02357923076954</v>
      </c>
      <c r="X184" s="18"/>
      <c r="Y184" s="14">
        <f t="shared" si="14"/>
        <v>541.02357923076954</v>
      </c>
      <c r="Z184" s="3"/>
      <c r="AA184" s="3"/>
      <c r="AB184" s="5"/>
      <c r="AC184" s="1"/>
      <c r="AD184" s="28"/>
      <c r="AE184" s="28"/>
      <c r="AF184" s="3"/>
      <c r="AG184" s="7"/>
      <c r="AH184" s="7"/>
      <c r="AI184" s="3" t="s">
        <v>75</v>
      </c>
      <c r="AJ184" s="7" t="s">
        <v>76</v>
      </c>
      <c r="AK184" s="3"/>
      <c r="AL184" cm="1">
        <f t="array" ref="AL184">IF(getColor(V184) = 16777215, 0, 1)</f>
        <v>1</v>
      </c>
    </row>
    <row r="185" spans="1:38">
      <c r="A185" s="1">
        <v>184</v>
      </c>
      <c r="B185" s="3" t="s">
        <v>27</v>
      </c>
      <c r="C185" s="7" t="s">
        <v>161</v>
      </c>
      <c r="D185" s="7" t="s">
        <v>162</v>
      </c>
      <c r="E185" s="8">
        <v>56.191633333333336</v>
      </c>
      <c r="F185" s="8">
        <v>-133.5291</v>
      </c>
      <c r="G185" s="9" t="s">
        <v>30</v>
      </c>
      <c r="H185" s="3" t="s">
        <v>31</v>
      </c>
      <c r="I185" s="3" t="s">
        <v>31</v>
      </c>
      <c r="J185" s="3" t="s">
        <v>31</v>
      </c>
      <c r="K185" s="7" t="s">
        <v>149</v>
      </c>
      <c r="L185" s="9">
        <v>0</v>
      </c>
      <c r="M185" s="9">
        <v>5</v>
      </c>
      <c r="N185" s="9">
        <f t="shared" si="10"/>
        <v>5</v>
      </c>
      <c r="O185" s="9"/>
      <c r="P185" s="9"/>
      <c r="Q185" s="25"/>
      <c r="R185" s="11">
        <v>0</v>
      </c>
      <c r="S185" s="1">
        <v>1.31</v>
      </c>
      <c r="T185" s="1">
        <v>0.87</v>
      </c>
      <c r="U185" s="12">
        <v>1</v>
      </c>
      <c r="V185" s="13">
        <v>7.87</v>
      </c>
      <c r="W185" s="14">
        <f t="shared" si="12"/>
        <v>3389.2155000000002</v>
      </c>
      <c r="X185" s="18"/>
      <c r="Y185" s="14">
        <f t="shared" si="14"/>
        <v>3389.2155000000002</v>
      </c>
      <c r="Z185" s="3"/>
      <c r="AA185" s="3"/>
      <c r="AB185" s="5"/>
      <c r="AC185" s="1"/>
      <c r="AD185" s="32"/>
      <c r="AE185" s="32"/>
      <c r="AF185" s="3"/>
      <c r="AG185" s="7"/>
      <c r="AH185" s="7"/>
      <c r="AI185" s="3" t="s">
        <v>75</v>
      </c>
      <c r="AJ185" s="7" t="s">
        <v>150</v>
      </c>
      <c r="AK185" s="3"/>
      <c r="AL185" cm="1">
        <f t="array" ref="AL185">IF(getColor(V185) = 16777215, 0, 1)</f>
        <v>0</v>
      </c>
    </row>
    <row r="186" spans="1:38">
      <c r="A186" s="1">
        <v>185</v>
      </c>
      <c r="B186" s="3" t="s">
        <v>27</v>
      </c>
      <c r="C186" s="7" t="s">
        <v>161</v>
      </c>
      <c r="D186" s="7" t="s">
        <v>162</v>
      </c>
      <c r="E186" s="8">
        <v>56.191633333333336</v>
      </c>
      <c r="F186" s="8">
        <v>-133.5291</v>
      </c>
      <c r="G186" s="9" t="s">
        <v>30</v>
      </c>
      <c r="H186" s="3" t="s">
        <v>31</v>
      </c>
      <c r="I186" s="3" t="s">
        <v>31</v>
      </c>
      <c r="J186" s="3" t="s">
        <v>31</v>
      </c>
      <c r="K186" s="7" t="s">
        <v>101</v>
      </c>
      <c r="L186" s="9">
        <v>5</v>
      </c>
      <c r="M186" s="9">
        <v>18</v>
      </c>
      <c r="N186" s="9">
        <f t="shared" si="10"/>
        <v>13</v>
      </c>
      <c r="O186" s="9"/>
      <c r="P186" s="9"/>
      <c r="Q186" s="25"/>
      <c r="R186" s="11">
        <v>0</v>
      </c>
      <c r="S186" s="1">
        <v>1.19</v>
      </c>
      <c r="T186" s="1">
        <v>0.87</v>
      </c>
      <c r="U186" s="12">
        <v>1</v>
      </c>
      <c r="V186" s="13">
        <v>6.89</v>
      </c>
      <c r="W186" s="14">
        <f t="shared" si="12"/>
        <v>7714.6641</v>
      </c>
      <c r="X186" s="18"/>
      <c r="Y186" s="14">
        <f t="shared" si="14"/>
        <v>7714.6641</v>
      </c>
      <c r="Z186" s="3"/>
      <c r="AA186" s="3"/>
      <c r="AB186" s="5"/>
      <c r="AC186" s="1"/>
      <c r="AD186" s="28"/>
      <c r="AE186" s="28"/>
      <c r="AF186" s="3"/>
      <c r="AG186" s="7"/>
      <c r="AH186" s="7"/>
      <c r="AI186" s="3" t="s">
        <v>75</v>
      </c>
      <c r="AJ186" s="7" t="s">
        <v>102</v>
      </c>
      <c r="AK186" s="3"/>
      <c r="AL186" cm="1">
        <f t="array" ref="AL186">IF(getColor(V186) = 16777215, 0, 1)</f>
        <v>0</v>
      </c>
    </row>
    <row r="187" spans="1:38">
      <c r="A187" s="1">
        <v>186</v>
      </c>
      <c r="B187" s="3" t="s">
        <v>27</v>
      </c>
      <c r="C187" s="7" t="s">
        <v>161</v>
      </c>
      <c r="D187" s="7" t="s">
        <v>162</v>
      </c>
      <c r="E187" s="8">
        <v>56.191633333333336</v>
      </c>
      <c r="F187" s="8">
        <v>-133.5291</v>
      </c>
      <c r="G187" s="9" t="s">
        <v>30</v>
      </c>
      <c r="H187" s="3" t="s">
        <v>31</v>
      </c>
      <c r="I187" s="3" t="s">
        <v>31</v>
      </c>
      <c r="J187" s="3" t="s">
        <v>31</v>
      </c>
      <c r="K187" s="7" t="s">
        <v>103</v>
      </c>
      <c r="L187" s="9">
        <v>18</v>
      </c>
      <c r="M187" s="9">
        <v>33</v>
      </c>
      <c r="N187" s="9">
        <f t="shared" si="10"/>
        <v>15</v>
      </c>
      <c r="O187" s="9"/>
      <c r="P187" s="9"/>
      <c r="Q187" s="25"/>
      <c r="R187" s="11">
        <v>0</v>
      </c>
      <c r="S187" s="1">
        <v>1.19</v>
      </c>
      <c r="T187" s="1">
        <v>0.87</v>
      </c>
      <c r="U187" s="12">
        <v>17</v>
      </c>
      <c r="V187" s="13">
        <v>16.88</v>
      </c>
      <c r="W187" s="14">
        <f t="shared" si="12"/>
        <v>18283.571999999996</v>
      </c>
      <c r="X187" s="18"/>
      <c r="Y187" s="14">
        <f t="shared" si="14"/>
        <v>18283.571999999996</v>
      </c>
      <c r="Z187" s="3"/>
      <c r="AA187" s="3"/>
      <c r="AB187" s="5"/>
      <c r="AC187" s="1"/>
      <c r="AD187" s="28"/>
      <c r="AE187" s="28"/>
      <c r="AF187" s="3"/>
      <c r="AG187" s="7"/>
      <c r="AH187" s="7"/>
      <c r="AI187" s="3" t="s">
        <v>75</v>
      </c>
      <c r="AJ187" s="7" t="s">
        <v>104</v>
      </c>
      <c r="AK187" s="3"/>
      <c r="AL187" cm="1">
        <f t="array" ref="AL187">IF(getColor(V187) = 16777215, 0, 1)</f>
        <v>0</v>
      </c>
    </row>
    <row r="188" spans="1:38">
      <c r="A188" s="1">
        <v>187</v>
      </c>
      <c r="B188" s="3" t="s">
        <v>27</v>
      </c>
      <c r="C188" s="7" t="s">
        <v>161</v>
      </c>
      <c r="D188" s="7" t="s">
        <v>162</v>
      </c>
      <c r="E188" s="8">
        <v>56.191633333333336</v>
      </c>
      <c r="F188" s="8">
        <v>-133.5291</v>
      </c>
      <c r="G188" s="9" t="s">
        <v>30</v>
      </c>
      <c r="H188" s="3" t="s">
        <v>31</v>
      </c>
      <c r="I188" s="3" t="s">
        <v>31</v>
      </c>
      <c r="J188" s="3" t="s">
        <v>31</v>
      </c>
      <c r="K188" s="7" t="s">
        <v>41</v>
      </c>
      <c r="L188" s="9">
        <v>33</v>
      </c>
      <c r="M188" s="9">
        <v>79</v>
      </c>
      <c r="N188" s="9">
        <f t="shared" si="10"/>
        <v>46</v>
      </c>
      <c r="O188" s="9"/>
      <c r="P188" s="9"/>
      <c r="Q188" s="25"/>
      <c r="R188" s="11">
        <v>0</v>
      </c>
      <c r="S188" s="1">
        <v>1.46</v>
      </c>
      <c r="T188" s="1">
        <f t="shared" si="11"/>
        <v>1.46</v>
      </c>
      <c r="U188" s="12">
        <v>1</v>
      </c>
      <c r="V188" s="13">
        <v>4.8</v>
      </c>
      <c r="W188" s="14">
        <f t="shared" si="12"/>
        <v>31914.432000000008</v>
      </c>
      <c r="X188" s="18"/>
      <c r="Y188" s="14">
        <f t="shared" si="14"/>
        <v>31914.432000000008</v>
      </c>
      <c r="Z188" s="3"/>
      <c r="AA188" s="3"/>
      <c r="AB188" s="5"/>
      <c r="AC188" s="1"/>
      <c r="AD188" s="28"/>
      <c r="AE188" s="28"/>
      <c r="AF188" s="3"/>
      <c r="AG188" s="7"/>
      <c r="AH188" s="7"/>
      <c r="AI188" s="3" t="s">
        <v>75</v>
      </c>
      <c r="AJ188" s="7" t="s">
        <v>61</v>
      </c>
      <c r="AK188" s="3"/>
      <c r="AL188" cm="1">
        <f t="array" ref="AL188">IF(getColor(V188) = 16777215, 0, 1)</f>
        <v>0</v>
      </c>
    </row>
    <row r="189" spans="1:38">
      <c r="A189" s="1">
        <v>188</v>
      </c>
      <c r="B189" s="3" t="s">
        <v>27</v>
      </c>
      <c r="C189" s="7" t="s">
        <v>161</v>
      </c>
      <c r="D189" s="7" t="s">
        <v>162</v>
      </c>
      <c r="E189" s="8">
        <v>56.191633333333336</v>
      </c>
      <c r="F189" s="8">
        <v>-133.5291</v>
      </c>
      <c r="G189" s="9" t="s">
        <v>30</v>
      </c>
      <c r="H189" s="3" t="s">
        <v>31</v>
      </c>
      <c r="I189" s="3" t="s">
        <v>31</v>
      </c>
      <c r="J189" s="3" t="s">
        <v>31</v>
      </c>
      <c r="K189" s="7" t="s">
        <v>44</v>
      </c>
      <c r="L189" s="9">
        <v>79</v>
      </c>
      <c r="M189" s="9">
        <v>107</v>
      </c>
      <c r="N189" s="9">
        <f t="shared" si="10"/>
        <v>28</v>
      </c>
      <c r="O189" s="9"/>
      <c r="P189" s="9"/>
      <c r="Q189" s="25"/>
      <c r="R189" s="11">
        <v>0</v>
      </c>
      <c r="S189" s="1">
        <v>1.91</v>
      </c>
      <c r="T189" s="1">
        <f t="shared" si="11"/>
        <v>1.91</v>
      </c>
      <c r="U189" s="12">
        <v>20</v>
      </c>
      <c r="V189" s="13">
        <v>0.68</v>
      </c>
      <c r="W189" s="14">
        <f t="shared" si="12"/>
        <v>2909.3119999999999</v>
      </c>
      <c r="X189" s="18"/>
      <c r="Y189" s="14">
        <f>IF(L189&gt;-100,W189-W189*(ABS(M189)-100)/(ABS(M189)-ABS(L189)),0)</f>
        <v>2181.9839999999999</v>
      </c>
      <c r="Z189" s="3"/>
      <c r="AA189" s="3"/>
      <c r="AB189" s="5"/>
      <c r="AC189" s="1"/>
      <c r="AD189" s="28"/>
      <c r="AE189" s="28"/>
      <c r="AF189" s="3"/>
      <c r="AG189" s="7"/>
      <c r="AH189" s="7"/>
      <c r="AI189" s="3" t="s">
        <v>75</v>
      </c>
      <c r="AJ189" s="7" t="s">
        <v>44</v>
      </c>
      <c r="AK189" s="3"/>
      <c r="AL189" cm="1">
        <f t="array" ref="AL189">IF(getColor(V189) = 16777215, 0, 1)</f>
        <v>0</v>
      </c>
    </row>
    <row r="190" spans="1:38">
      <c r="A190" s="1">
        <v>189</v>
      </c>
      <c r="B190" s="3" t="s">
        <v>27</v>
      </c>
      <c r="C190" s="7" t="s">
        <v>163</v>
      </c>
      <c r="D190" s="7" t="s">
        <v>164</v>
      </c>
      <c r="E190" s="8">
        <v>56.211111111111116</v>
      </c>
      <c r="F190" s="8">
        <v>-132.69802222222222</v>
      </c>
      <c r="G190" s="9" t="s">
        <v>30</v>
      </c>
      <c r="H190" s="3" t="s">
        <v>31</v>
      </c>
      <c r="I190" s="3" t="s">
        <v>31</v>
      </c>
      <c r="J190" s="3" t="s">
        <v>31</v>
      </c>
      <c r="K190" s="7" t="s">
        <v>52</v>
      </c>
      <c r="L190" s="9">
        <v>8</v>
      </c>
      <c r="M190" s="9">
        <v>0</v>
      </c>
      <c r="N190" s="9">
        <f t="shared" si="10"/>
        <v>8</v>
      </c>
      <c r="O190" s="29">
        <f>M191</f>
        <v>5</v>
      </c>
      <c r="P190" s="29">
        <f>L190</f>
        <v>8</v>
      </c>
      <c r="Q190" s="29">
        <f>P190+O190</f>
        <v>13</v>
      </c>
      <c r="R190" s="11">
        <v>0</v>
      </c>
      <c r="S190" s="1">
        <v>0.15</v>
      </c>
      <c r="T190" s="1">
        <f t="shared" si="11"/>
        <v>0.15</v>
      </c>
      <c r="U190" s="12">
        <v>0</v>
      </c>
      <c r="V190" s="31">
        <v>36.068238615384637</v>
      </c>
      <c r="W190" s="14">
        <f t="shared" si="12"/>
        <v>4328.1886338461563</v>
      </c>
      <c r="X190" s="14">
        <f>SUM(W190:W191)</f>
        <v>5769.7462705961561</v>
      </c>
      <c r="Y190" s="14" t="s">
        <v>31</v>
      </c>
      <c r="Z190" s="15">
        <f>SUM(Y190:Y191)/10^6*10^4</f>
        <v>14.4155763675</v>
      </c>
      <c r="AA190" s="16">
        <v>21.024897853562415</v>
      </c>
      <c r="AB190" s="5"/>
      <c r="AC190" s="1"/>
      <c r="AD190" s="28"/>
      <c r="AE190" s="28"/>
      <c r="AF190" s="3"/>
      <c r="AG190" s="7"/>
      <c r="AH190" s="7"/>
      <c r="AI190" s="3" t="s">
        <v>107</v>
      </c>
      <c r="AJ190" s="7" t="s">
        <v>76</v>
      </c>
      <c r="AK190" s="3"/>
      <c r="AL190" cm="1">
        <f t="array" ref="AL190">IF(getColor(V190) = 16777215, 0, 1)</f>
        <v>1</v>
      </c>
    </row>
    <row r="191" spans="1:38">
      <c r="A191" s="1">
        <v>190</v>
      </c>
      <c r="B191" s="3" t="s">
        <v>27</v>
      </c>
      <c r="C191" s="7" t="s">
        <v>163</v>
      </c>
      <c r="D191" s="7" t="s">
        <v>164</v>
      </c>
      <c r="E191" s="8">
        <v>56.211111111111116</v>
      </c>
      <c r="F191" s="8">
        <v>-132.69802222222222</v>
      </c>
      <c r="G191" s="9" t="s">
        <v>30</v>
      </c>
      <c r="H191" s="3" t="s">
        <v>31</v>
      </c>
      <c r="I191" s="3" t="s">
        <v>31</v>
      </c>
      <c r="J191" s="3" t="s">
        <v>31</v>
      </c>
      <c r="K191" s="7" t="s">
        <v>47</v>
      </c>
      <c r="L191" s="9">
        <v>0</v>
      </c>
      <c r="M191" s="9">
        <v>5</v>
      </c>
      <c r="N191" s="9">
        <f t="shared" si="10"/>
        <v>5</v>
      </c>
      <c r="O191" s="9"/>
      <c r="P191" s="9"/>
      <c r="Q191" s="25"/>
      <c r="R191" s="11">
        <v>0</v>
      </c>
      <c r="S191" s="1">
        <v>0.93</v>
      </c>
      <c r="T191" s="1">
        <f t="shared" si="11"/>
        <v>0.93</v>
      </c>
      <c r="U191" s="12">
        <v>23</v>
      </c>
      <c r="V191" s="13">
        <v>4.026135</v>
      </c>
      <c r="W191" s="14">
        <f t="shared" si="12"/>
        <v>1441.55763675</v>
      </c>
      <c r="X191" s="25"/>
      <c r="Y191" s="14">
        <f>T191*V191/100*N191*100*100*((100-U191)/100)</f>
        <v>1441.55763675</v>
      </c>
      <c r="Z191" s="3"/>
      <c r="AA191" s="3"/>
      <c r="AB191" s="5"/>
      <c r="AC191" s="5"/>
      <c r="AD191" s="32"/>
      <c r="AE191" s="32"/>
      <c r="AF191" s="3"/>
      <c r="AG191" s="7"/>
      <c r="AH191" s="7"/>
      <c r="AI191" s="3" t="s">
        <v>107</v>
      </c>
      <c r="AJ191" s="7" t="s">
        <v>47</v>
      </c>
      <c r="AK191" s="3"/>
      <c r="AL191" cm="1">
        <f t="array" ref="AL191">IF(getColor(V191) = 16777215, 0, 1)</f>
        <v>0</v>
      </c>
    </row>
    <row r="192" spans="1:38">
      <c r="A192" s="1">
        <v>191</v>
      </c>
      <c r="B192" s="3" t="s">
        <v>27</v>
      </c>
      <c r="C192" s="7" t="s">
        <v>165</v>
      </c>
      <c r="D192" s="7" t="s">
        <v>166</v>
      </c>
      <c r="E192" s="8">
        <v>56.209722222222226</v>
      </c>
      <c r="F192" s="8">
        <v>-132.69718888888889</v>
      </c>
      <c r="G192" s="9" t="s">
        <v>30</v>
      </c>
      <c r="H192" s="3" t="s">
        <v>31</v>
      </c>
      <c r="I192" s="3" t="s">
        <v>31</v>
      </c>
      <c r="J192" s="3" t="s">
        <v>31</v>
      </c>
      <c r="K192" s="7" t="s">
        <v>52</v>
      </c>
      <c r="L192" s="9">
        <v>10</v>
      </c>
      <c r="M192" s="9">
        <v>0</v>
      </c>
      <c r="N192" s="9">
        <f t="shared" si="10"/>
        <v>10</v>
      </c>
      <c r="O192" s="29">
        <f>M194</f>
        <v>13</v>
      </c>
      <c r="P192" s="29">
        <f>L192</f>
        <v>10</v>
      </c>
      <c r="Q192" s="29">
        <f>P192+O192</f>
        <v>23</v>
      </c>
      <c r="R192" s="11">
        <v>0</v>
      </c>
      <c r="S192" s="1">
        <v>0.15</v>
      </c>
      <c r="T192" s="1">
        <f t="shared" si="11"/>
        <v>0.15</v>
      </c>
      <c r="U192" s="12">
        <v>0</v>
      </c>
      <c r="V192" s="31">
        <v>36.068238615384637</v>
      </c>
      <c r="W192" s="14">
        <f t="shared" si="12"/>
        <v>5410.2357923076952</v>
      </c>
      <c r="X192" s="14">
        <f>SUM(W192:W194)</f>
        <v>12197.821479807693</v>
      </c>
      <c r="Y192" s="14" t="s">
        <v>31</v>
      </c>
      <c r="Z192" s="15">
        <f>SUM(Y192:Y194)/10^6*10^4</f>
        <v>67.875856874999997</v>
      </c>
      <c r="AA192" s="16">
        <v>30.74300833096564</v>
      </c>
      <c r="AB192" s="5"/>
      <c r="AC192" s="1"/>
      <c r="AD192" s="28"/>
      <c r="AE192" s="28"/>
      <c r="AF192" s="3"/>
      <c r="AG192" s="7"/>
      <c r="AH192" s="7"/>
      <c r="AI192" s="3" t="s">
        <v>107</v>
      </c>
      <c r="AJ192" s="7" t="s">
        <v>76</v>
      </c>
      <c r="AK192" s="3"/>
      <c r="AL192" cm="1">
        <f t="array" ref="AL192">IF(getColor(V192) = 16777215, 0, 1)</f>
        <v>1</v>
      </c>
    </row>
    <row r="193" spans="1:38">
      <c r="A193" s="1">
        <v>192</v>
      </c>
      <c r="B193" s="3" t="s">
        <v>27</v>
      </c>
      <c r="C193" s="7" t="s">
        <v>165</v>
      </c>
      <c r="D193" s="7" t="s">
        <v>166</v>
      </c>
      <c r="E193" s="8">
        <v>56.209722222222226</v>
      </c>
      <c r="F193" s="8">
        <v>-132.69718888888889</v>
      </c>
      <c r="G193" s="9" t="s">
        <v>30</v>
      </c>
      <c r="H193" s="3" t="s">
        <v>31</v>
      </c>
      <c r="I193" s="3" t="s">
        <v>31</v>
      </c>
      <c r="J193" s="3" t="s">
        <v>31</v>
      </c>
      <c r="K193" s="7" t="s">
        <v>47</v>
      </c>
      <c r="L193" s="9">
        <v>0</v>
      </c>
      <c r="M193" s="9">
        <v>10</v>
      </c>
      <c r="N193" s="9">
        <f t="shared" si="10"/>
        <v>10</v>
      </c>
      <c r="O193" s="9"/>
      <c r="P193" s="9"/>
      <c r="Q193" s="25"/>
      <c r="R193" s="11">
        <v>0</v>
      </c>
      <c r="S193" s="1">
        <v>0.93</v>
      </c>
      <c r="T193" s="1">
        <f t="shared" si="11"/>
        <v>0.93</v>
      </c>
      <c r="U193" s="12">
        <v>25</v>
      </c>
      <c r="V193" s="13">
        <v>5.3585250000000002</v>
      </c>
      <c r="W193" s="14">
        <f t="shared" si="12"/>
        <v>3737.5711874999997</v>
      </c>
      <c r="X193" s="25"/>
      <c r="Y193" s="14">
        <f t="shared" ref="Y193:Y206" si="15">T193*V193/100*N193*100*100*((100-U193)/100)</f>
        <v>3737.5711874999997</v>
      </c>
      <c r="Z193" s="3"/>
      <c r="AA193" s="3"/>
      <c r="AB193" s="5"/>
      <c r="AC193" s="5"/>
      <c r="AD193" s="32"/>
      <c r="AE193" s="32"/>
      <c r="AF193" s="3"/>
      <c r="AG193" s="7"/>
      <c r="AH193" s="7"/>
      <c r="AI193" s="3" t="s">
        <v>107</v>
      </c>
      <c r="AJ193" s="7" t="s">
        <v>47</v>
      </c>
      <c r="AK193" s="3"/>
      <c r="AL193" cm="1">
        <f t="array" ref="AL193">IF(getColor(V193) = 16777215, 0, 1)</f>
        <v>0</v>
      </c>
    </row>
    <row r="194" spans="1:38">
      <c r="A194" s="1">
        <v>193</v>
      </c>
      <c r="B194" s="3" t="s">
        <v>27</v>
      </c>
      <c r="C194" s="7" t="s">
        <v>165</v>
      </c>
      <c r="D194" s="7" t="s">
        <v>166</v>
      </c>
      <c r="E194" s="8">
        <v>56.209722222222226</v>
      </c>
      <c r="F194" s="8">
        <v>-132.69718888888889</v>
      </c>
      <c r="G194" s="9" t="s">
        <v>30</v>
      </c>
      <c r="H194" s="3" t="s">
        <v>31</v>
      </c>
      <c r="I194" s="3" t="s">
        <v>31</v>
      </c>
      <c r="J194" s="3" t="s">
        <v>31</v>
      </c>
      <c r="K194" s="7" t="s">
        <v>41</v>
      </c>
      <c r="L194" s="9">
        <v>10</v>
      </c>
      <c r="M194" s="9">
        <v>13</v>
      </c>
      <c r="N194" s="9">
        <f t="shared" ref="N194:N257" si="16">ABS(M194-L194)</f>
        <v>3</v>
      </c>
      <c r="O194" s="9"/>
      <c r="P194" s="9"/>
      <c r="Q194" s="25"/>
      <c r="R194" s="11">
        <v>0</v>
      </c>
      <c r="S194" s="1">
        <v>1.17</v>
      </c>
      <c r="T194" s="1">
        <f t="shared" ref="T194:T257" si="17">IF(R194=0,S194,R194)</f>
        <v>1.17</v>
      </c>
      <c r="U194" s="12">
        <v>20</v>
      </c>
      <c r="V194" s="13">
        <v>10.861875</v>
      </c>
      <c r="W194" s="14">
        <f t="shared" si="12"/>
        <v>3050.0144999999998</v>
      </c>
      <c r="X194" s="25"/>
      <c r="Y194" s="14">
        <f t="shared" si="15"/>
        <v>3050.0144999999998</v>
      </c>
      <c r="Z194" s="3"/>
      <c r="AA194" s="3"/>
      <c r="AB194" s="5"/>
      <c r="AC194" s="1"/>
      <c r="AD194" s="28"/>
      <c r="AE194" s="28"/>
      <c r="AF194" s="3"/>
      <c r="AG194" s="7"/>
      <c r="AH194" s="7"/>
      <c r="AI194" s="3" t="s">
        <v>107</v>
      </c>
      <c r="AJ194" s="7" t="s">
        <v>61</v>
      </c>
      <c r="AK194" s="3"/>
      <c r="AL194" cm="1">
        <f t="array" ref="AL194">IF(getColor(V194) = 16777215, 0, 1)</f>
        <v>0</v>
      </c>
    </row>
    <row r="195" spans="1:38">
      <c r="A195" s="1">
        <v>194</v>
      </c>
      <c r="B195" s="3" t="s">
        <v>27</v>
      </c>
      <c r="C195" s="7" t="s">
        <v>167</v>
      </c>
      <c r="D195" s="7" t="s">
        <v>168</v>
      </c>
      <c r="E195" s="8">
        <v>56.27493333333333</v>
      </c>
      <c r="F195" s="8">
        <v>-133.30416666666667</v>
      </c>
      <c r="G195" s="9" t="s">
        <v>30</v>
      </c>
      <c r="H195" s="3" t="s">
        <v>31</v>
      </c>
      <c r="I195" s="3" t="s">
        <v>31</v>
      </c>
      <c r="J195" s="3" t="s">
        <v>31</v>
      </c>
      <c r="K195" s="7" t="s">
        <v>32</v>
      </c>
      <c r="L195" s="9">
        <v>23</v>
      </c>
      <c r="M195" s="9">
        <v>19</v>
      </c>
      <c r="N195" s="9">
        <f t="shared" si="16"/>
        <v>4</v>
      </c>
      <c r="O195" s="29">
        <f>M201</f>
        <v>77</v>
      </c>
      <c r="P195" s="29">
        <f>L195</f>
        <v>23</v>
      </c>
      <c r="Q195" s="29">
        <f>P195+O195</f>
        <v>100</v>
      </c>
      <c r="R195" s="11">
        <v>0</v>
      </c>
      <c r="S195" s="1">
        <v>0.12</v>
      </c>
      <c r="T195" s="1">
        <f t="shared" si="17"/>
        <v>0.12</v>
      </c>
      <c r="U195" s="12">
        <v>0</v>
      </c>
      <c r="V195" s="13">
        <v>51.760455</v>
      </c>
      <c r="W195" s="14">
        <f t="shared" ref="W195:W258" si="18">T195*V195/100*N195*100*100*((100-U195)/100)</f>
        <v>2484.5018399999999</v>
      </c>
      <c r="X195" s="14">
        <f>SUM(W195:W201)</f>
        <v>37963.860392850002</v>
      </c>
      <c r="Y195" s="14">
        <f t="shared" si="15"/>
        <v>2484.5018399999999</v>
      </c>
      <c r="Z195" s="15">
        <f>SUM(Y195:Y201)/10^6*10^4</f>
        <v>379.63860392850006</v>
      </c>
      <c r="AA195" s="16">
        <v>83.921365746787345</v>
      </c>
      <c r="AB195" s="5"/>
      <c r="AC195" s="1"/>
      <c r="AD195" s="28"/>
      <c r="AE195" s="28"/>
      <c r="AF195" s="3"/>
      <c r="AG195" s="7"/>
      <c r="AH195" s="7"/>
      <c r="AI195" s="3" t="s">
        <v>75</v>
      </c>
      <c r="AJ195" s="7" t="s">
        <v>34</v>
      </c>
      <c r="AK195" s="3"/>
      <c r="AL195" cm="1">
        <f t="array" ref="AL195">IF(getColor(V195) = 16777215, 0, 1)</f>
        <v>0</v>
      </c>
    </row>
    <row r="196" spans="1:38">
      <c r="A196" s="1">
        <v>195</v>
      </c>
      <c r="B196" s="3" t="s">
        <v>27</v>
      </c>
      <c r="C196" s="7" t="s">
        <v>167</v>
      </c>
      <c r="D196" s="7" t="s">
        <v>168</v>
      </c>
      <c r="E196" s="8">
        <v>56.27493333333333</v>
      </c>
      <c r="F196" s="8">
        <v>-133.30416666666667</v>
      </c>
      <c r="G196" s="9" t="s">
        <v>30</v>
      </c>
      <c r="H196" s="3" t="s">
        <v>31</v>
      </c>
      <c r="I196" s="3" t="s">
        <v>31</v>
      </c>
      <c r="J196" s="3" t="s">
        <v>31</v>
      </c>
      <c r="K196" s="7" t="s">
        <v>35</v>
      </c>
      <c r="L196" s="9">
        <v>19</v>
      </c>
      <c r="M196" s="9">
        <v>10</v>
      </c>
      <c r="N196" s="9">
        <f t="shared" si="16"/>
        <v>9</v>
      </c>
      <c r="O196" s="9"/>
      <c r="P196" s="9"/>
      <c r="Q196" s="25"/>
      <c r="R196" s="11">
        <v>0</v>
      </c>
      <c r="S196" s="1">
        <v>0.12</v>
      </c>
      <c r="T196" s="1">
        <f t="shared" si="17"/>
        <v>0.12</v>
      </c>
      <c r="U196" s="12">
        <v>0</v>
      </c>
      <c r="V196" s="13">
        <v>62.023719999999997</v>
      </c>
      <c r="W196" s="14">
        <f t="shared" si="18"/>
        <v>6698.5617599999996</v>
      </c>
      <c r="X196" s="25"/>
      <c r="Y196" s="14">
        <f t="shared" si="15"/>
        <v>6698.5617599999996</v>
      </c>
      <c r="Z196" s="3"/>
      <c r="AA196" s="3"/>
      <c r="AB196" s="5"/>
      <c r="AC196" s="5"/>
      <c r="AD196" s="28"/>
      <c r="AE196" s="28"/>
      <c r="AF196" s="3"/>
      <c r="AG196" s="7"/>
      <c r="AH196" s="7"/>
      <c r="AI196" s="3" t="s">
        <v>75</v>
      </c>
      <c r="AJ196" s="7" t="s">
        <v>36</v>
      </c>
      <c r="AK196" s="3"/>
      <c r="AL196" cm="1">
        <f t="array" ref="AL196">IF(getColor(V196) = 16777215, 0, 1)</f>
        <v>0</v>
      </c>
    </row>
    <row r="197" spans="1:38">
      <c r="A197" s="1">
        <v>196</v>
      </c>
      <c r="B197" s="3" t="s">
        <v>27</v>
      </c>
      <c r="C197" s="7" t="s">
        <v>167</v>
      </c>
      <c r="D197" s="7" t="s">
        <v>168</v>
      </c>
      <c r="E197" s="8">
        <v>56.27493333333333</v>
      </c>
      <c r="F197" s="8">
        <v>-133.30416666666667</v>
      </c>
      <c r="G197" s="9" t="s">
        <v>30</v>
      </c>
      <c r="H197" s="3" t="s">
        <v>31</v>
      </c>
      <c r="I197" s="3" t="s">
        <v>31</v>
      </c>
      <c r="J197" s="3" t="s">
        <v>31</v>
      </c>
      <c r="K197" s="7" t="s">
        <v>52</v>
      </c>
      <c r="L197" s="9">
        <v>10</v>
      </c>
      <c r="M197" s="9">
        <v>0</v>
      </c>
      <c r="N197" s="9">
        <f t="shared" si="16"/>
        <v>10</v>
      </c>
      <c r="O197" s="9"/>
      <c r="P197" s="9"/>
      <c r="Q197" s="25"/>
      <c r="R197" s="11">
        <v>0</v>
      </c>
      <c r="S197" s="1">
        <v>0.15</v>
      </c>
      <c r="T197" s="1">
        <f t="shared" si="17"/>
        <v>0.15</v>
      </c>
      <c r="U197" s="12">
        <v>0</v>
      </c>
      <c r="V197" s="13">
        <v>34.835239999999999</v>
      </c>
      <c r="W197" s="14">
        <f t="shared" si="18"/>
        <v>5225.2860000000001</v>
      </c>
      <c r="X197" s="25"/>
      <c r="Y197" s="14">
        <f t="shared" si="15"/>
        <v>5225.2860000000001</v>
      </c>
      <c r="Z197" s="3"/>
      <c r="AA197" s="3"/>
      <c r="AB197" s="5"/>
      <c r="AC197" s="1"/>
      <c r="AD197" s="28"/>
      <c r="AE197" s="28"/>
      <c r="AF197" s="3"/>
      <c r="AG197" s="7"/>
      <c r="AH197" s="7"/>
      <c r="AI197" s="3" t="s">
        <v>75</v>
      </c>
      <c r="AJ197" s="7" t="s">
        <v>76</v>
      </c>
      <c r="AK197" s="3"/>
      <c r="AL197" cm="1">
        <f t="array" ref="AL197">IF(getColor(V197) = 16777215, 0, 1)</f>
        <v>0</v>
      </c>
    </row>
    <row r="198" spans="1:38">
      <c r="A198" s="1">
        <v>197</v>
      </c>
      <c r="B198" s="3" t="s">
        <v>27</v>
      </c>
      <c r="C198" s="7" t="s">
        <v>167</v>
      </c>
      <c r="D198" s="7" t="s">
        <v>168</v>
      </c>
      <c r="E198" s="8">
        <v>56.27493333333333</v>
      </c>
      <c r="F198" s="8">
        <v>-133.30416666666667</v>
      </c>
      <c r="G198" s="9" t="s">
        <v>30</v>
      </c>
      <c r="H198" s="3" t="s">
        <v>31</v>
      </c>
      <c r="I198" s="3" t="s">
        <v>31</v>
      </c>
      <c r="J198" s="3" t="s">
        <v>31</v>
      </c>
      <c r="K198" s="7" t="s">
        <v>47</v>
      </c>
      <c r="L198" s="9">
        <v>0</v>
      </c>
      <c r="M198" s="9">
        <v>2</v>
      </c>
      <c r="N198" s="9">
        <f t="shared" si="16"/>
        <v>2</v>
      </c>
      <c r="O198" s="9"/>
      <c r="P198" s="9"/>
      <c r="Q198" s="25"/>
      <c r="R198" s="11">
        <v>0</v>
      </c>
      <c r="S198" s="1">
        <v>1.31</v>
      </c>
      <c r="T198" s="1">
        <f t="shared" si="17"/>
        <v>1.31</v>
      </c>
      <c r="U198" s="12">
        <v>7</v>
      </c>
      <c r="V198" s="13">
        <v>7.3571100000000005</v>
      </c>
      <c r="W198" s="14">
        <f t="shared" si="18"/>
        <v>1792.6334226000004</v>
      </c>
      <c r="X198" s="25"/>
      <c r="Y198" s="14">
        <f t="shared" si="15"/>
        <v>1792.6334226000004</v>
      </c>
      <c r="Z198" s="3"/>
      <c r="AA198" s="3"/>
      <c r="AB198" s="5"/>
      <c r="AC198" s="1"/>
      <c r="AD198" s="28"/>
      <c r="AE198" s="28"/>
      <c r="AF198" s="3"/>
      <c r="AG198" s="7"/>
      <c r="AH198" s="7"/>
      <c r="AI198" s="3" t="s">
        <v>75</v>
      </c>
      <c r="AJ198" s="7" t="s">
        <v>47</v>
      </c>
      <c r="AK198" s="3"/>
      <c r="AL198" cm="1">
        <f t="array" ref="AL198">IF(getColor(V198) = 16777215, 0, 1)</f>
        <v>0</v>
      </c>
    </row>
    <row r="199" spans="1:38">
      <c r="A199" s="1">
        <v>198</v>
      </c>
      <c r="B199" s="3" t="s">
        <v>27</v>
      </c>
      <c r="C199" s="7" t="s">
        <v>167</v>
      </c>
      <c r="D199" s="7" t="s">
        <v>168</v>
      </c>
      <c r="E199" s="8">
        <v>56.27493333333333</v>
      </c>
      <c r="F199" s="8">
        <v>-133.30416666666667</v>
      </c>
      <c r="G199" s="9" t="s">
        <v>30</v>
      </c>
      <c r="H199" s="3" t="s">
        <v>31</v>
      </c>
      <c r="I199" s="3" t="s">
        <v>31</v>
      </c>
      <c r="J199" s="3" t="s">
        <v>31</v>
      </c>
      <c r="K199" s="7" t="s">
        <v>77</v>
      </c>
      <c r="L199" s="9">
        <v>2</v>
      </c>
      <c r="M199" s="9">
        <v>7</v>
      </c>
      <c r="N199" s="9">
        <f t="shared" si="16"/>
        <v>5</v>
      </c>
      <c r="O199" s="9"/>
      <c r="P199" s="9"/>
      <c r="Q199" s="25"/>
      <c r="R199" s="11">
        <v>0</v>
      </c>
      <c r="S199" s="1">
        <v>1.19</v>
      </c>
      <c r="T199" s="1">
        <f t="shared" si="17"/>
        <v>1.19</v>
      </c>
      <c r="U199" s="12">
        <v>15</v>
      </c>
      <c r="V199" s="13">
        <v>11.016355000000001</v>
      </c>
      <c r="W199" s="14">
        <f t="shared" si="18"/>
        <v>5571.5215412500002</v>
      </c>
      <c r="X199" s="25"/>
      <c r="Y199" s="14">
        <f t="shared" si="15"/>
        <v>5571.5215412500002</v>
      </c>
      <c r="Z199" s="3"/>
      <c r="AA199" s="3"/>
      <c r="AB199" s="5"/>
      <c r="AC199" s="1"/>
      <c r="AD199" s="28"/>
      <c r="AE199" s="28"/>
      <c r="AF199" s="3"/>
      <c r="AG199" s="7"/>
      <c r="AH199" s="7"/>
      <c r="AI199" s="3" t="s">
        <v>75</v>
      </c>
      <c r="AJ199" s="7" t="s">
        <v>78</v>
      </c>
      <c r="AK199" s="3"/>
      <c r="AL199" cm="1">
        <f t="array" ref="AL199">IF(getColor(V199) = 16777215, 0, 1)</f>
        <v>0</v>
      </c>
    </row>
    <row r="200" spans="1:38">
      <c r="A200" s="1">
        <v>199</v>
      </c>
      <c r="B200" s="3" t="s">
        <v>27</v>
      </c>
      <c r="C200" s="7" t="s">
        <v>167</v>
      </c>
      <c r="D200" s="7" t="s">
        <v>168</v>
      </c>
      <c r="E200" s="8">
        <v>56.27493333333333</v>
      </c>
      <c r="F200" s="8">
        <v>-133.30416666666667</v>
      </c>
      <c r="G200" s="9" t="s">
        <v>30</v>
      </c>
      <c r="H200" s="3" t="s">
        <v>31</v>
      </c>
      <c r="I200" s="3" t="s">
        <v>31</v>
      </c>
      <c r="J200" s="3" t="s">
        <v>31</v>
      </c>
      <c r="K200" s="7" t="s">
        <v>41</v>
      </c>
      <c r="L200" s="9">
        <v>7</v>
      </c>
      <c r="M200" s="9">
        <v>32</v>
      </c>
      <c r="N200" s="9">
        <f t="shared" si="16"/>
        <v>25</v>
      </c>
      <c r="O200" s="9"/>
      <c r="P200" s="9"/>
      <c r="Q200" s="25"/>
      <c r="R200" s="11">
        <v>0</v>
      </c>
      <c r="S200" s="1">
        <v>1.46</v>
      </c>
      <c r="T200" s="1">
        <f t="shared" si="17"/>
        <v>1.46</v>
      </c>
      <c r="U200" s="12">
        <v>17</v>
      </c>
      <c r="V200" s="13">
        <v>3.4082149999999998</v>
      </c>
      <c r="W200" s="14">
        <f t="shared" si="18"/>
        <v>10325.187342499999</v>
      </c>
      <c r="X200" s="25"/>
      <c r="Y200" s="14">
        <f t="shared" si="15"/>
        <v>10325.187342499999</v>
      </c>
      <c r="Z200" s="3"/>
      <c r="AA200" s="3"/>
      <c r="AB200" s="5"/>
      <c r="AC200" s="1"/>
      <c r="AD200" s="28"/>
      <c r="AE200" s="28"/>
      <c r="AF200" s="3"/>
      <c r="AG200" s="7"/>
      <c r="AH200" s="7"/>
      <c r="AI200" s="3" t="s">
        <v>75</v>
      </c>
      <c r="AJ200" s="7" t="s">
        <v>61</v>
      </c>
      <c r="AK200" s="3"/>
      <c r="AL200" cm="1">
        <f t="array" ref="AL200">IF(getColor(V200) = 16777215, 0, 1)</f>
        <v>0</v>
      </c>
    </row>
    <row r="201" spans="1:38">
      <c r="A201" s="1">
        <v>200</v>
      </c>
      <c r="B201" s="3" t="s">
        <v>27</v>
      </c>
      <c r="C201" s="7" t="s">
        <v>167</v>
      </c>
      <c r="D201" s="7" t="s">
        <v>168</v>
      </c>
      <c r="E201" s="8">
        <v>56.27493333333333</v>
      </c>
      <c r="F201" s="8">
        <v>-133.30416666666667</v>
      </c>
      <c r="G201" s="9" t="s">
        <v>30</v>
      </c>
      <c r="H201" s="3" t="s">
        <v>31</v>
      </c>
      <c r="I201" s="3" t="s">
        <v>31</v>
      </c>
      <c r="J201" s="3" t="s">
        <v>31</v>
      </c>
      <c r="K201" s="7" t="s">
        <v>169</v>
      </c>
      <c r="L201" s="9">
        <v>32</v>
      </c>
      <c r="M201" s="9">
        <v>77</v>
      </c>
      <c r="N201" s="9">
        <f t="shared" si="16"/>
        <v>45</v>
      </c>
      <c r="O201" s="9"/>
      <c r="P201" s="9"/>
      <c r="Q201" s="25"/>
      <c r="R201" s="11">
        <v>0</v>
      </c>
      <c r="S201" s="1">
        <v>1.19</v>
      </c>
      <c r="T201" s="1">
        <f t="shared" si="17"/>
        <v>1.19</v>
      </c>
      <c r="U201" s="12">
        <v>38</v>
      </c>
      <c r="V201" s="13">
        <v>1.7668650000000001</v>
      </c>
      <c r="W201" s="14">
        <f t="shared" si="18"/>
        <v>5866.1684864999997</v>
      </c>
      <c r="X201" s="25"/>
      <c r="Y201" s="14">
        <f t="shared" si="15"/>
        <v>5866.1684864999997</v>
      </c>
      <c r="Z201" s="3"/>
      <c r="AA201" s="3"/>
      <c r="AB201" s="5"/>
      <c r="AC201" s="1"/>
      <c r="AD201" s="28"/>
      <c r="AE201" s="28"/>
      <c r="AF201" s="3"/>
      <c r="AG201" s="7"/>
      <c r="AH201" s="7"/>
      <c r="AI201" s="3" t="s">
        <v>75</v>
      </c>
      <c r="AJ201" s="7" t="s">
        <v>169</v>
      </c>
      <c r="AK201" s="3"/>
      <c r="AL201" cm="1">
        <f t="array" ref="AL201">IF(getColor(V201) = 16777215, 0, 1)</f>
        <v>0</v>
      </c>
    </row>
    <row r="202" spans="1:38">
      <c r="A202" s="1">
        <v>201</v>
      </c>
      <c r="B202" s="3" t="s">
        <v>27</v>
      </c>
      <c r="C202" s="7" t="s">
        <v>170</v>
      </c>
      <c r="D202" s="7" t="s">
        <v>171</v>
      </c>
      <c r="E202" s="8">
        <v>56.2958</v>
      </c>
      <c r="F202" s="8">
        <v>-134.15</v>
      </c>
      <c r="G202" s="9" t="s">
        <v>30</v>
      </c>
      <c r="H202" s="3" t="s">
        <v>31</v>
      </c>
      <c r="I202" s="3" t="s">
        <v>31</v>
      </c>
      <c r="J202" s="3" t="s">
        <v>31</v>
      </c>
      <c r="K202" s="7" t="s">
        <v>172</v>
      </c>
      <c r="L202" s="9">
        <v>8</v>
      </c>
      <c r="M202" s="9">
        <v>5</v>
      </c>
      <c r="N202" s="9">
        <f t="shared" si="16"/>
        <v>3</v>
      </c>
      <c r="O202" s="29">
        <f>M207</f>
        <v>127</v>
      </c>
      <c r="P202" s="29">
        <f>L202</f>
        <v>8</v>
      </c>
      <c r="Q202" s="29">
        <f>P202+O202</f>
        <v>135</v>
      </c>
      <c r="R202" s="11">
        <v>0</v>
      </c>
      <c r="S202" s="1">
        <v>0.11</v>
      </c>
      <c r="T202" s="1">
        <f t="shared" si="17"/>
        <v>0.11</v>
      </c>
      <c r="U202" s="12">
        <v>0</v>
      </c>
      <c r="V202" s="31">
        <v>37.79128262471886</v>
      </c>
      <c r="W202" s="14">
        <f t="shared" si="18"/>
        <v>1247.1123266157222</v>
      </c>
      <c r="X202" s="14">
        <f>SUM(W202:W207)</f>
        <v>85960.021827375254</v>
      </c>
      <c r="Y202" s="14">
        <f t="shared" si="15"/>
        <v>1247.1123266157222</v>
      </c>
      <c r="Z202" s="15">
        <f>SUM(Y202:Y207)/10^6*10^4</f>
        <v>634.61863587375251</v>
      </c>
      <c r="AA202" s="16">
        <v>51.39343212730973</v>
      </c>
      <c r="AB202" s="5"/>
      <c r="AC202" s="1"/>
      <c r="AD202" s="28"/>
      <c r="AE202" s="28"/>
      <c r="AF202" s="3"/>
      <c r="AG202" s="7"/>
      <c r="AH202" s="7"/>
      <c r="AI202" s="3" t="s">
        <v>107</v>
      </c>
      <c r="AJ202" s="7" t="s">
        <v>172</v>
      </c>
      <c r="AK202" s="3"/>
      <c r="AL202" cm="1">
        <f t="array" ref="AL202">IF(getColor(V202) = 16777215, 0, 1)</f>
        <v>1</v>
      </c>
    </row>
    <row r="203" spans="1:38">
      <c r="A203" s="1">
        <v>202</v>
      </c>
      <c r="B203" s="3" t="s">
        <v>27</v>
      </c>
      <c r="C203" s="7" t="s">
        <v>170</v>
      </c>
      <c r="D203" s="7" t="s">
        <v>171</v>
      </c>
      <c r="E203" s="8">
        <v>56.2958</v>
      </c>
      <c r="F203" s="8">
        <v>-134.15</v>
      </c>
      <c r="G203" s="9" t="s">
        <v>30</v>
      </c>
      <c r="H203" s="3" t="s">
        <v>31</v>
      </c>
      <c r="I203" s="3" t="s">
        <v>31</v>
      </c>
      <c r="J203" s="3" t="s">
        <v>31</v>
      </c>
      <c r="K203" s="7" t="s">
        <v>173</v>
      </c>
      <c r="L203" s="9">
        <v>5</v>
      </c>
      <c r="M203" s="9">
        <v>0</v>
      </c>
      <c r="N203" s="9">
        <f t="shared" si="16"/>
        <v>5</v>
      </c>
      <c r="O203" s="9"/>
      <c r="P203" s="9"/>
      <c r="Q203" s="25"/>
      <c r="R203" s="11">
        <v>0</v>
      </c>
      <c r="S203" s="1">
        <v>0.11</v>
      </c>
      <c r="T203" s="1">
        <f t="shared" si="17"/>
        <v>0.11</v>
      </c>
      <c r="U203" s="12">
        <v>0</v>
      </c>
      <c r="V203" s="31">
        <v>37.79128262471886</v>
      </c>
      <c r="W203" s="14">
        <f t="shared" si="18"/>
        <v>2078.5205443595369</v>
      </c>
      <c r="X203" s="13"/>
      <c r="Y203" s="14">
        <f t="shared" si="15"/>
        <v>2078.5205443595369</v>
      </c>
      <c r="Z203" s="3"/>
      <c r="AA203" s="3"/>
      <c r="AB203" s="5"/>
      <c r="AC203" s="5"/>
      <c r="AD203" s="32"/>
      <c r="AE203" s="32"/>
      <c r="AF203" s="3"/>
      <c r="AG203" s="7"/>
      <c r="AH203" s="7"/>
      <c r="AI203" s="3" t="s">
        <v>107</v>
      </c>
      <c r="AJ203" s="7" t="s">
        <v>173</v>
      </c>
      <c r="AK203" s="3"/>
      <c r="AL203" cm="1">
        <f t="array" ref="AL203">IF(getColor(V203) = 16777215, 0, 1)</f>
        <v>1</v>
      </c>
    </row>
    <row r="204" spans="1:38">
      <c r="A204" s="1">
        <v>203</v>
      </c>
      <c r="B204" s="3" t="s">
        <v>27</v>
      </c>
      <c r="C204" s="7" t="s">
        <v>170</v>
      </c>
      <c r="D204" s="7" t="s">
        <v>171</v>
      </c>
      <c r="E204" s="8">
        <v>56.2958</v>
      </c>
      <c r="F204" s="8">
        <v>-134.15</v>
      </c>
      <c r="G204" s="9" t="s">
        <v>30</v>
      </c>
      <c r="H204" s="3" t="s">
        <v>31</v>
      </c>
      <c r="I204" s="3" t="s">
        <v>31</v>
      </c>
      <c r="J204" s="3" t="s">
        <v>31</v>
      </c>
      <c r="K204" s="7" t="s">
        <v>174</v>
      </c>
      <c r="L204" s="9">
        <v>0</v>
      </c>
      <c r="M204" s="9">
        <v>3</v>
      </c>
      <c r="N204" s="9">
        <f t="shared" si="16"/>
        <v>3</v>
      </c>
      <c r="O204" s="9"/>
      <c r="P204" s="9"/>
      <c r="Q204" s="25"/>
      <c r="R204" s="11">
        <v>0</v>
      </c>
      <c r="S204" s="1">
        <v>0.93</v>
      </c>
      <c r="T204" s="1">
        <f t="shared" si="17"/>
        <v>0.93</v>
      </c>
      <c r="U204" s="12">
        <v>0</v>
      </c>
      <c r="V204" s="31">
        <v>5.8390833333333338</v>
      </c>
      <c r="W204" s="14">
        <f t="shared" si="18"/>
        <v>1629.1042500000003</v>
      </c>
      <c r="X204" s="13"/>
      <c r="Y204" s="14">
        <f t="shared" si="15"/>
        <v>1629.1042500000003</v>
      </c>
      <c r="Z204" s="3"/>
      <c r="AA204" s="3"/>
      <c r="AB204" s="5"/>
      <c r="AC204" s="1"/>
      <c r="AD204" s="32"/>
      <c r="AE204" s="32"/>
      <c r="AF204" s="3"/>
      <c r="AG204" s="7"/>
      <c r="AH204" s="7"/>
      <c r="AI204" s="3" t="s">
        <v>107</v>
      </c>
      <c r="AJ204" s="7" t="s">
        <v>174</v>
      </c>
      <c r="AK204" s="3"/>
      <c r="AL204" cm="1">
        <f t="array" ref="AL204">IF(getColor(V204) = 16777215, 0, 1)</f>
        <v>1</v>
      </c>
    </row>
    <row r="205" spans="1:38">
      <c r="A205" s="1">
        <v>204</v>
      </c>
      <c r="B205" s="3" t="s">
        <v>27</v>
      </c>
      <c r="C205" s="7" t="s">
        <v>170</v>
      </c>
      <c r="D205" s="7" t="s">
        <v>171</v>
      </c>
      <c r="E205" s="8">
        <v>56.2958</v>
      </c>
      <c r="F205" s="8">
        <v>-134.15</v>
      </c>
      <c r="G205" s="9" t="s">
        <v>30</v>
      </c>
      <c r="H205" s="3" t="s">
        <v>31</v>
      </c>
      <c r="I205" s="3" t="s">
        <v>31</v>
      </c>
      <c r="J205" s="3" t="s">
        <v>31</v>
      </c>
      <c r="K205" s="7" t="s">
        <v>41</v>
      </c>
      <c r="L205" s="9">
        <v>3</v>
      </c>
      <c r="M205" s="9">
        <v>10</v>
      </c>
      <c r="N205" s="9">
        <f t="shared" si="16"/>
        <v>7</v>
      </c>
      <c r="O205" s="9"/>
      <c r="P205" s="9"/>
      <c r="Q205" s="25"/>
      <c r="R205" s="11">
        <v>0</v>
      </c>
      <c r="S205" s="1">
        <v>1.17</v>
      </c>
      <c r="T205" s="1">
        <f t="shared" si="17"/>
        <v>1.17</v>
      </c>
      <c r="U205" s="12">
        <v>19</v>
      </c>
      <c r="V205" s="13">
        <v>6.6426400000000001</v>
      </c>
      <c r="W205" s="14">
        <f t="shared" si="18"/>
        <v>4406.6609496000001</v>
      </c>
      <c r="X205" s="25"/>
      <c r="Y205" s="14">
        <f t="shared" si="15"/>
        <v>4406.6609496000001</v>
      </c>
      <c r="Z205" s="3"/>
      <c r="AA205" s="3"/>
      <c r="AB205" s="5"/>
      <c r="AC205" s="1"/>
      <c r="AD205" s="32"/>
      <c r="AE205" s="32"/>
      <c r="AF205" s="3"/>
      <c r="AG205" s="7"/>
      <c r="AH205" s="7"/>
      <c r="AI205" s="3" t="s">
        <v>107</v>
      </c>
      <c r="AJ205" s="7" t="s">
        <v>61</v>
      </c>
      <c r="AK205" s="3"/>
      <c r="AL205" cm="1">
        <f t="array" ref="AL205">IF(getColor(V205) = 16777215, 0, 1)</f>
        <v>0</v>
      </c>
    </row>
    <row r="206" spans="1:38">
      <c r="A206" s="1">
        <v>205</v>
      </c>
      <c r="B206" s="3" t="s">
        <v>27</v>
      </c>
      <c r="C206" s="7" t="s">
        <v>170</v>
      </c>
      <c r="D206" s="7" t="s">
        <v>171</v>
      </c>
      <c r="E206" s="8">
        <v>56.2958</v>
      </c>
      <c r="F206" s="8">
        <v>-134.15</v>
      </c>
      <c r="G206" s="9" t="s">
        <v>30</v>
      </c>
      <c r="H206" s="3" t="s">
        <v>31</v>
      </c>
      <c r="I206" s="3" t="s">
        <v>31</v>
      </c>
      <c r="J206" s="3" t="s">
        <v>31</v>
      </c>
      <c r="K206" s="7" t="s">
        <v>175</v>
      </c>
      <c r="L206" s="9">
        <v>10</v>
      </c>
      <c r="M206" s="9">
        <v>76</v>
      </c>
      <c r="N206" s="9">
        <f t="shared" si="16"/>
        <v>66</v>
      </c>
      <c r="O206" s="9"/>
      <c r="P206" s="9"/>
      <c r="Q206" s="25"/>
      <c r="R206" s="11">
        <v>0</v>
      </c>
      <c r="S206" s="1">
        <v>1.71</v>
      </c>
      <c r="T206" s="1">
        <f t="shared" si="17"/>
        <v>1.71</v>
      </c>
      <c r="U206" s="12">
        <v>36</v>
      </c>
      <c r="V206" s="13">
        <v>4.7212949999999996</v>
      </c>
      <c r="W206" s="14">
        <f t="shared" si="18"/>
        <v>34102.102636799995</v>
      </c>
      <c r="X206" s="25"/>
      <c r="Y206" s="14">
        <f t="shared" si="15"/>
        <v>34102.102636799995</v>
      </c>
      <c r="Z206" s="3"/>
      <c r="AA206" s="3"/>
      <c r="AB206" s="5"/>
      <c r="AC206" s="1"/>
      <c r="AD206" s="28"/>
      <c r="AE206" s="28"/>
      <c r="AF206" s="3"/>
      <c r="AG206" s="7"/>
      <c r="AH206" s="7"/>
      <c r="AI206" s="3" t="s">
        <v>107</v>
      </c>
      <c r="AJ206" s="7" t="s">
        <v>175</v>
      </c>
      <c r="AK206" s="3"/>
      <c r="AL206" cm="1">
        <f t="array" ref="AL206">IF(getColor(V206) = 16777215, 0, 1)</f>
        <v>0</v>
      </c>
    </row>
    <row r="207" spans="1:38">
      <c r="A207" s="1">
        <v>206</v>
      </c>
      <c r="B207" s="3" t="s">
        <v>27</v>
      </c>
      <c r="C207" s="7" t="s">
        <v>170</v>
      </c>
      <c r="D207" s="7" t="s">
        <v>171</v>
      </c>
      <c r="E207" s="8">
        <v>56.2958</v>
      </c>
      <c r="F207" s="8">
        <v>-134.15</v>
      </c>
      <c r="G207" s="9" t="s">
        <v>30</v>
      </c>
      <c r="H207" s="3" t="s">
        <v>31</v>
      </c>
      <c r="I207" s="3" t="s">
        <v>31</v>
      </c>
      <c r="J207" s="3" t="s">
        <v>31</v>
      </c>
      <c r="K207" s="7" t="s">
        <v>44</v>
      </c>
      <c r="L207" s="9">
        <v>76</v>
      </c>
      <c r="M207" s="9">
        <v>127</v>
      </c>
      <c r="N207" s="9">
        <f t="shared" si="16"/>
        <v>51</v>
      </c>
      <c r="O207" s="9"/>
      <c r="P207" s="9"/>
      <c r="Q207" s="25"/>
      <c r="R207" s="11">
        <v>0</v>
      </c>
      <c r="S207" s="1">
        <v>1.74</v>
      </c>
      <c r="T207" s="1">
        <f t="shared" si="17"/>
        <v>1.74</v>
      </c>
      <c r="U207" s="12">
        <v>0</v>
      </c>
      <c r="V207" s="13">
        <v>4.7888799999999998</v>
      </c>
      <c r="W207" s="14">
        <f t="shared" si="18"/>
        <v>42496.521119999998</v>
      </c>
      <c r="X207" s="25"/>
      <c r="Y207" s="14">
        <f>IF(L207&gt;-100,W207-W207*(ABS(M207)-100)/(ABS(M207)-ABS(L207)),0)</f>
        <v>19998.362879999997</v>
      </c>
      <c r="Z207" s="3"/>
      <c r="AA207" s="3"/>
      <c r="AB207" s="5"/>
      <c r="AC207" s="1"/>
      <c r="AD207" s="28"/>
      <c r="AE207" s="28"/>
      <c r="AF207" s="3"/>
      <c r="AG207" s="7"/>
      <c r="AH207" s="7"/>
      <c r="AI207" s="3" t="s">
        <v>107</v>
      </c>
      <c r="AJ207" s="7" t="s">
        <v>44</v>
      </c>
      <c r="AK207" s="3"/>
      <c r="AL207" cm="1">
        <f t="array" ref="AL207">IF(getColor(V207) = 16777215, 0, 1)</f>
        <v>0</v>
      </c>
    </row>
    <row r="208" spans="1:38">
      <c r="A208" s="1">
        <v>207</v>
      </c>
      <c r="B208" s="3" t="s">
        <v>27</v>
      </c>
      <c r="C208" s="7" t="s">
        <v>176</v>
      </c>
      <c r="D208" s="7" t="s">
        <v>177</v>
      </c>
      <c r="E208" s="8">
        <v>56.301111111111105</v>
      </c>
      <c r="F208" s="8">
        <v>-132.20944444444444</v>
      </c>
      <c r="G208" s="9" t="s">
        <v>30</v>
      </c>
      <c r="H208" s="3" t="s">
        <v>31</v>
      </c>
      <c r="I208" s="3" t="s">
        <v>31</v>
      </c>
      <c r="J208" s="3" t="s">
        <v>31</v>
      </c>
      <c r="K208" s="7" t="s">
        <v>49</v>
      </c>
      <c r="L208" s="9">
        <v>0</v>
      </c>
      <c r="M208" s="9">
        <v>11</v>
      </c>
      <c r="N208" s="9">
        <f t="shared" si="16"/>
        <v>11</v>
      </c>
      <c r="O208" s="10">
        <f>M216-P208</f>
        <v>60</v>
      </c>
      <c r="P208" s="10">
        <f>M211</f>
        <v>70</v>
      </c>
      <c r="Q208" s="10">
        <f>O208+P208</f>
        <v>130</v>
      </c>
      <c r="R208" s="11">
        <v>0</v>
      </c>
      <c r="S208" s="1">
        <v>0.08</v>
      </c>
      <c r="T208" s="1">
        <f t="shared" si="17"/>
        <v>0.08</v>
      </c>
      <c r="U208" s="12">
        <v>0</v>
      </c>
      <c r="V208" s="13">
        <v>47.5</v>
      </c>
      <c r="W208" s="14">
        <f t="shared" si="18"/>
        <v>4180</v>
      </c>
      <c r="X208" s="14">
        <f>SUM(W208:W216)</f>
        <v>71873.367301000006</v>
      </c>
      <c r="Y208" s="14">
        <f>T208*V208/100*N208*100*100*((100-U208)/100)</f>
        <v>4180</v>
      </c>
      <c r="Z208" s="15">
        <f>SUM(Y208:Y216)/10^6*10^4</f>
        <v>582.09661900000003</v>
      </c>
      <c r="AA208" s="16">
        <v>191.00508840000001</v>
      </c>
      <c r="AB208" s="5"/>
      <c r="AC208" s="1"/>
      <c r="AD208" s="28"/>
      <c r="AE208" s="28"/>
      <c r="AF208" s="3"/>
      <c r="AG208" s="7"/>
      <c r="AH208" s="7"/>
      <c r="AI208" s="3" t="s">
        <v>178</v>
      </c>
      <c r="AJ208" s="7" t="s">
        <v>60</v>
      </c>
      <c r="AK208" s="3"/>
      <c r="AL208" cm="1">
        <f t="array" ref="AL208">IF(getColor(V208) = 16777215, 0, 1)</f>
        <v>0</v>
      </c>
    </row>
    <row r="209" spans="1:38">
      <c r="A209" s="1">
        <v>208</v>
      </c>
      <c r="B209" s="3" t="s">
        <v>27</v>
      </c>
      <c r="C209" s="7" t="s">
        <v>176</v>
      </c>
      <c r="D209" s="7" t="s">
        <v>177</v>
      </c>
      <c r="E209" s="8">
        <v>56.301111111111105</v>
      </c>
      <c r="F209" s="8">
        <v>-132.20944444444444</v>
      </c>
      <c r="G209" s="9" t="s">
        <v>30</v>
      </c>
      <c r="H209" s="3" t="s">
        <v>31</v>
      </c>
      <c r="I209" s="3" t="s">
        <v>31</v>
      </c>
      <c r="J209" s="3" t="s">
        <v>31</v>
      </c>
      <c r="K209" s="7" t="s">
        <v>179</v>
      </c>
      <c r="L209" s="9">
        <v>11</v>
      </c>
      <c r="M209" s="9">
        <v>26</v>
      </c>
      <c r="N209" s="9">
        <f t="shared" si="16"/>
        <v>15</v>
      </c>
      <c r="O209" s="9"/>
      <c r="P209" s="9"/>
      <c r="Q209" s="25"/>
      <c r="R209" s="11">
        <v>0</v>
      </c>
      <c r="S209" s="1">
        <v>0.15</v>
      </c>
      <c r="T209" s="1">
        <f t="shared" si="17"/>
        <v>0.15</v>
      </c>
      <c r="U209" s="12">
        <v>0</v>
      </c>
      <c r="V209" s="13">
        <v>46.02</v>
      </c>
      <c r="W209" s="14">
        <f t="shared" si="18"/>
        <v>10354.500000000002</v>
      </c>
      <c r="X209" s="18"/>
      <c r="Y209" s="14">
        <f>T209*V209/100*N209*100*100*((100-U209)/100)</f>
        <v>10354.500000000002</v>
      </c>
      <c r="Z209" s="3"/>
      <c r="AA209" s="3"/>
      <c r="AB209" s="5"/>
      <c r="AC209" s="5"/>
      <c r="AD209" s="28"/>
      <c r="AE209" s="28"/>
      <c r="AF209" s="3"/>
      <c r="AG209" s="7"/>
      <c r="AH209" s="7"/>
      <c r="AI209" s="3" t="s">
        <v>178</v>
      </c>
      <c r="AJ209" s="7" t="s">
        <v>180</v>
      </c>
      <c r="AK209" s="3"/>
      <c r="AL209" cm="1">
        <f t="array" ref="AL209">IF(getColor(V209) = 16777215, 0, 1)</f>
        <v>0</v>
      </c>
    </row>
    <row r="210" spans="1:38">
      <c r="A210" s="1">
        <v>209</v>
      </c>
      <c r="B210" s="3" t="s">
        <v>27</v>
      </c>
      <c r="C210" s="7" t="s">
        <v>176</v>
      </c>
      <c r="D210" s="7" t="s">
        <v>177</v>
      </c>
      <c r="E210" s="8">
        <v>56.301111111111105</v>
      </c>
      <c r="F210" s="8">
        <v>-132.20944444444444</v>
      </c>
      <c r="G210" s="9" t="s">
        <v>30</v>
      </c>
      <c r="H210" s="3" t="s">
        <v>31</v>
      </c>
      <c r="I210" s="3" t="s">
        <v>31</v>
      </c>
      <c r="J210" s="3" t="s">
        <v>31</v>
      </c>
      <c r="K210" s="7" t="s">
        <v>132</v>
      </c>
      <c r="L210" s="9">
        <v>26</v>
      </c>
      <c r="M210" s="9">
        <v>53</v>
      </c>
      <c r="N210" s="9">
        <f t="shared" si="16"/>
        <v>27</v>
      </c>
      <c r="O210" s="9"/>
      <c r="P210" s="9"/>
      <c r="Q210" s="25"/>
      <c r="R210" s="11">
        <v>0</v>
      </c>
      <c r="S210" s="1">
        <v>0.15</v>
      </c>
      <c r="T210" s="1">
        <f t="shared" si="17"/>
        <v>0.15</v>
      </c>
      <c r="U210" s="12">
        <v>0</v>
      </c>
      <c r="V210" s="13">
        <v>55.71</v>
      </c>
      <c r="W210" s="14">
        <f t="shared" si="18"/>
        <v>22562.55</v>
      </c>
      <c r="X210" s="18"/>
      <c r="Y210" s="14">
        <f>T210*V210/100*N210*100*100*((100-U210)/100)</f>
        <v>22562.55</v>
      </c>
      <c r="Z210" s="3"/>
      <c r="AA210" s="3"/>
      <c r="AB210" s="5"/>
      <c r="AC210" s="1"/>
      <c r="AD210" s="28"/>
      <c r="AE210" s="28"/>
      <c r="AF210" s="3"/>
      <c r="AG210" s="7"/>
      <c r="AH210" s="7"/>
      <c r="AI210" s="3" t="s">
        <v>178</v>
      </c>
      <c r="AJ210" s="7" t="s">
        <v>133</v>
      </c>
      <c r="AK210" s="3"/>
      <c r="AL210" cm="1">
        <f t="array" ref="AL210">IF(getColor(V210) = 16777215, 0, 1)</f>
        <v>0</v>
      </c>
    </row>
    <row r="211" spans="1:38">
      <c r="A211" s="1">
        <v>210</v>
      </c>
      <c r="B211" s="3" t="s">
        <v>27</v>
      </c>
      <c r="C211" s="7" t="s">
        <v>176</v>
      </c>
      <c r="D211" s="7" t="s">
        <v>177</v>
      </c>
      <c r="E211" s="8">
        <v>56.301111111111105</v>
      </c>
      <c r="F211" s="8">
        <v>-132.20944444444444</v>
      </c>
      <c r="G211" s="9" t="s">
        <v>30</v>
      </c>
      <c r="H211" s="3" t="s">
        <v>31</v>
      </c>
      <c r="I211" s="3" t="s">
        <v>31</v>
      </c>
      <c r="J211" s="3" t="s">
        <v>31</v>
      </c>
      <c r="K211" s="7" t="s">
        <v>181</v>
      </c>
      <c r="L211" s="9">
        <v>53</v>
      </c>
      <c r="M211" s="9">
        <v>70</v>
      </c>
      <c r="N211" s="9">
        <f t="shared" si="16"/>
        <v>17</v>
      </c>
      <c r="O211" s="9"/>
      <c r="P211" s="9"/>
      <c r="Q211" s="25"/>
      <c r="R211" s="11">
        <v>0</v>
      </c>
      <c r="S211" s="1">
        <v>0.15</v>
      </c>
      <c r="T211" s="1">
        <f t="shared" si="17"/>
        <v>0.15</v>
      </c>
      <c r="U211" s="12">
        <v>0</v>
      </c>
      <c r="V211" s="13">
        <v>35.56</v>
      </c>
      <c r="W211" s="14">
        <f t="shared" si="18"/>
        <v>9067.8000000000011</v>
      </c>
      <c r="X211" s="18"/>
      <c r="Y211" s="14">
        <f>T211*V211/100*N211*100*100*((100-U211)/100)</f>
        <v>9067.8000000000011</v>
      </c>
      <c r="Z211" s="3"/>
      <c r="AA211" s="3"/>
      <c r="AB211" s="5"/>
      <c r="AC211" s="1"/>
      <c r="AD211" s="28"/>
      <c r="AE211" s="28"/>
      <c r="AF211" s="3"/>
      <c r="AG211" s="7"/>
      <c r="AH211" s="7"/>
      <c r="AI211" s="3" t="s">
        <v>178</v>
      </c>
      <c r="AJ211" s="7" t="s">
        <v>182</v>
      </c>
      <c r="AK211" s="3"/>
      <c r="AL211" cm="1">
        <f t="array" ref="AL211">IF(getColor(V211) = 16777215, 0, 1)</f>
        <v>0</v>
      </c>
    </row>
    <row r="212" spans="1:38">
      <c r="A212" s="1">
        <v>211</v>
      </c>
      <c r="B212" s="3" t="s">
        <v>27</v>
      </c>
      <c r="C212" s="7" t="s">
        <v>176</v>
      </c>
      <c r="D212" s="7" t="s">
        <v>177</v>
      </c>
      <c r="E212" s="8">
        <v>56.301111111111105</v>
      </c>
      <c r="F212" s="8">
        <v>-132.20944444444444</v>
      </c>
      <c r="G212" s="9" t="s">
        <v>30</v>
      </c>
      <c r="H212" s="3" t="s">
        <v>31</v>
      </c>
      <c r="I212" s="3" t="s">
        <v>31</v>
      </c>
      <c r="J212" s="3" t="s">
        <v>31</v>
      </c>
      <c r="K212" s="7" t="s">
        <v>183</v>
      </c>
      <c r="L212" s="9">
        <v>70</v>
      </c>
      <c r="M212" s="9">
        <v>78</v>
      </c>
      <c r="N212" s="9">
        <f t="shared" si="16"/>
        <v>8</v>
      </c>
      <c r="O212" s="9"/>
      <c r="P212" s="9"/>
      <c r="Q212" s="25"/>
      <c r="R212" s="11">
        <v>1.1200000000000001</v>
      </c>
      <c r="S212" s="1">
        <v>0.93</v>
      </c>
      <c r="T212" s="1">
        <f t="shared" si="17"/>
        <v>1.1200000000000001</v>
      </c>
      <c r="U212" s="12">
        <v>1</v>
      </c>
      <c r="V212" s="13">
        <v>5.18</v>
      </c>
      <c r="W212" s="14">
        <f t="shared" si="18"/>
        <v>4594.8672000000006</v>
      </c>
      <c r="X212" s="18"/>
      <c r="Y212" s="14">
        <f>T212*V212/100*N212*100*100*((100-U212)/100)</f>
        <v>4594.8672000000006</v>
      </c>
      <c r="Z212" s="3"/>
      <c r="AA212" s="3"/>
      <c r="AB212" s="5"/>
      <c r="AC212" s="1"/>
      <c r="AD212" s="28"/>
      <c r="AE212" s="28"/>
      <c r="AF212" s="3"/>
      <c r="AG212" s="7"/>
      <c r="AH212" s="7"/>
      <c r="AI212" s="3" t="s">
        <v>178</v>
      </c>
      <c r="AJ212" s="7" t="s">
        <v>183</v>
      </c>
      <c r="AK212" s="3"/>
      <c r="AL212" cm="1">
        <f t="array" ref="AL212">IF(getColor(V212) = 16777215, 0, 1)</f>
        <v>0</v>
      </c>
    </row>
    <row r="213" spans="1:38">
      <c r="A213" s="1">
        <v>212</v>
      </c>
      <c r="B213" s="3" t="s">
        <v>27</v>
      </c>
      <c r="C213" s="7" t="s">
        <v>176</v>
      </c>
      <c r="D213" s="7" t="s">
        <v>177</v>
      </c>
      <c r="E213" s="8">
        <v>56.301111111111105</v>
      </c>
      <c r="F213" s="8">
        <v>-132.20944444444444</v>
      </c>
      <c r="G213" s="9" t="s">
        <v>30</v>
      </c>
      <c r="H213" s="3" t="s">
        <v>31</v>
      </c>
      <c r="I213" s="3" t="s">
        <v>31</v>
      </c>
      <c r="J213" s="3" t="s">
        <v>31</v>
      </c>
      <c r="K213" s="7" t="s">
        <v>184</v>
      </c>
      <c r="L213" s="9">
        <v>78</v>
      </c>
      <c r="M213" s="9">
        <v>103</v>
      </c>
      <c r="N213" s="9">
        <f t="shared" si="16"/>
        <v>25</v>
      </c>
      <c r="O213" s="9"/>
      <c r="P213" s="9"/>
      <c r="Q213" s="25"/>
      <c r="R213" s="11">
        <v>1.23</v>
      </c>
      <c r="S213" s="1">
        <v>1.71</v>
      </c>
      <c r="T213" s="1">
        <f t="shared" si="17"/>
        <v>1.23</v>
      </c>
      <c r="U213" s="12">
        <v>3</v>
      </c>
      <c r="V213" s="13">
        <v>2.16</v>
      </c>
      <c r="W213" s="14">
        <f t="shared" si="18"/>
        <v>6442.74</v>
      </c>
      <c r="X213" s="18"/>
      <c r="Y213" s="14">
        <f>IF(L213&gt;-100,W213-W213*(ABS(M213)-100)/(ABS(M213)-ABS(L213)),0)</f>
        <v>5669.6111999999994</v>
      </c>
      <c r="Z213" s="3"/>
      <c r="AA213" s="3"/>
      <c r="AB213" s="5"/>
      <c r="AC213" s="1"/>
      <c r="AD213" s="28"/>
      <c r="AE213" s="28"/>
      <c r="AF213" s="3"/>
      <c r="AG213" s="7"/>
      <c r="AH213" s="7"/>
      <c r="AI213" s="3" t="s">
        <v>178</v>
      </c>
      <c r="AJ213" s="7" t="s">
        <v>184</v>
      </c>
      <c r="AK213" s="3"/>
      <c r="AL213" cm="1">
        <f t="array" ref="AL213">IF(getColor(V213) = 16777215, 0, 1)</f>
        <v>0</v>
      </c>
    </row>
    <row r="214" spans="1:38">
      <c r="A214" s="1">
        <v>213</v>
      </c>
      <c r="B214" s="3" t="s">
        <v>27</v>
      </c>
      <c r="C214" s="7" t="s">
        <v>176</v>
      </c>
      <c r="D214" s="7" t="s">
        <v>177</v>
      </c>
      <c r="E214" s="8">
        <v>56.301111111111105</v>
      </c>
      <c r="F214" s="8">
        <v>-132.20944444444444</v>
      </c>
      <c r="G214" s="9" t="s">
        <v>30</v>
      </c>
      <c r="H214" s="3" t="s">
        <v>31</v>
      </c>
      <c r="I214" s="3" t="s">
        <v>31</v>
      </c>
      <c r="J214" s="3" t="s">
        <v>31</v>
      </c>
      <c r="K214" s="7" t="s">
        <v>185</v>
      </c>
      <c r="L214" s="9">
        <v>103</v>
      </c>
      <c r="M214" s="9">
        <v>118</v>
      </c>
      <c r="N214" s="9">
        <f t="shared" si="16"/>
        <v>15</v>
      </c>
      <c r="O214" s="9"/>
      <c r="P214" s="9"/>
      <c r="Q214" s="25"/>
      <c r="R214" s="11">
        <v>1.93</v>
      </c>
      <c r="S214" s="1">
        <v>1.74</v>
      </c>
      <c r="T214" s="1">
        <f t="shared" si="17"/>
        <v>1.93</v>
      </c>
      <c r="U214" s="12">
        <v>3</v>
      </c>
      <c r="V214" s="13">
        <v>0.41</v>
      </c>
      <c r="W214" s="14">
        <f t="shared" si="18"/>
        <v>1151.3414999999995</v>
      </c>
      <c r="X214" s="18"/>
      <c r="Y214" s="14">
        <f>T214*V214/100*N214*100*100*((100-U214)/100)</f>
        <v>1151.3414999999995</v>
      </c>
      <c r="Z214" s="3"/>
      <c r="AA214" s="3"/>
      <c r="AB214" s="5"/>
      <c r="AC214" s="1"/>
      <c r="AD214" s="28"/>
      <c r="AE214" s="28"/>
      <c r="AF214" s="3"/>
      <c r="AG214" s="7"/>
      <c r="AH214" s="7"/>
      <c r="AI214" s="3" t="s">
        <v>178</v>
      </c>
      <c r="AJ214" s="7" t="s">
        <v>185</v>
      </c>
      <c r="AK214" s="3"/>
      <c r="AL214" cm="1">
        <f t="array" ref="AL214">IF(getColor(V214) = 16777215, 0, 1)</f>
        <v>0</v>
      </c>
    </row>
    <row r="215" spans="1:38">
      <c r="A215" s="1">
        <v>214</v>
      </c>
      <c r="B215" s="3" t="s">
        <v>27</v>
      </c>
      <c r="C215" s="7" t="s">
        <v>176</v>
      </c>
      <c r="D215" s="7" t="s">
        <v>177</v>
      </c>
      <c r="E215" s="8">
        <v>56.301111111111105</v>
      </c>
      <c r="F215" s="8">
        <v>-132.20944444444444</v>
      </c>
      <c r="G215" s="9" t="s">
        <v>30</v>
      </c>
      <c r="H215" s="3" t="s">
        <v>31</v>
      </c>
      <c r="I215" s="3" t="s">
        <v>31</v>
      </c>
      <c r="J215" s="3" t="s">
        <v>31</v>
      </c>
      <c r="K215" s="7" t="s">
        <v>186</v>
      </c>
      <c r="L215" s="9">
        <v>118</v>
      </c>
      <c r="M215" s="9">
        <v>130</v>
      </c>
      <c r="N215" s="9">
        <f t="shared" si="16"/>
        <v>12</v>
      </c>
      <c r="O215" s="9"/>
      <c r="P215" s="9"/>
      <c r="Q215" s="25"/>
      <c r="R215" s="11">
        <v>2.08</v>
      </c>
      <c r="S215" s="1">
        <v>1.74</v>
      </c>
      <c r="T215" s="1">
        <f t="shared" si="17"/>
        <v>2.08</v>
      </c>
      <c r="U215" s="12">
        <v>10</v>
      </c>
      <c r="V215" s="13">
        <v>0.28000000000000003</v>
      </c>
      <c r="W215" s="14">
        <f t="shared" si="18"/>
        <v>628.99199999999996</v>
      </c>
      <c r="X215" s="18"/>
      <c r="Y215" s="14">
        <f>T215*V215/100*N215*100*100*((100-U215)/100)</f>
        <v>628.99199999999996</v>
      </c>
      <c r="Z215" s="3"/>
      <c r="AA215" s="3"/>
      <c r="AB215" s="5"/>
      <c r="AC215" s="1"/>
      <c r="AD215" s="28"/>
      <c r="AE215" s="28"/>
      <c r="AF215" s="3"/>
      <c r="AG215" s="7"/>
      <c r="AH215" s="7"/>
      <c r="AI215" s="3" t="s">
        <v>178</v>
      </c>
      <c r="AJ215" s="7" t="s">
        <v>186</v>
      </c>
      <c r="AK215" s="3"/>
      <c r="AL215" cm="1">
        <f t="array" ref="AL215">IF(getColor(V215) = 16777215, 0, 1)</f>
        <v>0</v>
      </c>
    </row>
    <row r="216" spans="1:38">
      <c r="A216" s="1">
        <v>215</v>
      </c>
      <c r="B216" s="3" t="s">
        <v>27</v>
      </c>
      <c r="C216" s="7" t="s">
        <v>176</v>
      </c>
      <c r="D216" s="7" t="s">
        <v>177</v>
      </c>
      <c r="E216" s="8">
        <v>56.301111111111105</v>
      </c>
      <c r="F216" s="8">
        <v>-132.20944444444444</v>
      </c>
      <c r="G216" s="9" t="s">
        <v>30</v>
      </c>
      <c r="H216" s="3" t="s">
        <v>31</v>
      </c>
      <c r="I216" s="3" t="s">
        <v>31</v>
      </c>
      <c r="J216" s="3" t="s">
        <v>31</v>
      </c>
      <c r="K216" s="7" t="s">
        <v>187</v>
      </c>
      <c r="L216" s="9">
        <v>103</v>
      </c>
      <c r="M216" s="9">
        <v>130</v>
      </c>
      <c r="N216" s="9">
        <f t="shared" si="16"/>
        <v>27</v>
      </c>
      <c r="O216" s="9"/>
      <c r="P216" s="9"/>
      <c r="Q216" s="25"/>
      <c r="R216" s="11">
        <v>0</v>
      </c>
      <c r="S216" s="1">
        <v>1.74</v>
      </c>
      <c r="T216" s="1">
        <f t="shared" si="17"/>
        <v>1.74</v>
      </c>
      <c r="U216" s="12">
        <v>0</v>
      </c>
      <c r="V216" s="31">
        <v>2.7438434655172417</v>
      </c>
      <c r="W216" s="14">
        <f t="shared" si="18"/>
        <v>12890.576601000001</v>
      </c>
      <c r="X216" s="13"/>
      <c r="Y216" s="14">
        <v>0</v>
      </c>
      <c r="Z216" s="3"/>
      <c r="AA216" s="3"/>
      <c r="AB216" s="5"/>
      <c r="AC216" s="1"/>
      <c r="AD216" s="28"/>
      <c r="AE216" s="28"/>
      <c r="AF216" s="3"/>
      <c r="AG216" s="7"/>
      <c r="AH216" s="7"/>
      <c r="AI216" s="3" t="s">
        <v>178</v>
      </c>
      <c r="AJ216" s="7" t="s">
        <v>187</v>
      </c>
      <c r="AK216" s="3"/>
      <c r="AL216" cm="1">
        <f t="array" ref="AL216">IF(getColor(V216) = 16777215, 0, 1)</f>
        <v>1</v>
      </c>
    </row>
    <row r="217" spans="1:38">
      <c r="A217" s="1">
        <v>216</v>
      </c>
      <c r="B217" s="3" t="s">
        <v>27</v>
      </c>
      <c r="C217" s="7" t="s">
        <v>188</v>
      </c>
      <c r="D217" s="7" t="s">
        <v>189</v>
      </c>
      <c r="E217" s="8">
        <v>56.301111111111105</v>
      </c>
      <c r="F217" s="8">
        <v>-132.20944444444444</v>
      </c>
      <c r="G217" s="9" t="s">
        <v>30</v>
      </c>
      <c r="H217" s="3" t="s">
        <v>31</v>
      </c>
      <c r="I217" s="3" t="s">
        <v>31</v>
      </c>
      <c r="J217" s="3" t="s">
        <v>31</v>
      </c>
      <c r="K217" s="7" t="s">
        <v>49</v>
      </c>
      <c r="L217" s="9">
        <v>0</v>
      </c>
      <c r="M217" s="9">
        <v>7</v>
      </c>
      <c r="N217" s="9">
        <f t="shared" si="16"/>
        <v>7</v>
      </c>
      <c r="O217" s="29">
        <v>0</v>
      </c>
      <c r="P217" s="29">
        <v>130</v>
      </c>
      <c r="Q217" s="29">
        <f>P217+O217</f>
        <v>130</v>
      </c>
      <c r="R217" s="11">
        <v>0</v>
      </c>
      <c r="S217" s="1">
        <v>0.08</v>
      </c>
      <c r="T217" s="1">
        <f t="shared" si="17"/>
        <v>0.08</v>
      </c>
      <c r="U217" s="12">
        <v>0</v>
      </c>
      <c r="V217" s="13">
        <v>48.69</v>
      </c>
      <c r="W217" s="14">
        <f t="shared" si="18"/>
        <v>2726.64</v>
      </c>
      <c r="X217" s="14">
        <f>SUM(W217:W222)</f>
        <v>82720.2</v>
      </c>
      <c r="Y217" s="14">
        <f>T217*V217/100*N217*100*100*((100-U217)/100)</f>
        <v>2726.64</v>
      </c>
      <c r="Z217" s="15">
        <f>SUM(Y217:Y222)/10^6*10^4</f>
        <v>629.4899999999999</v>
      </c>
      <c r="AA217" s="16">
        <v>122.2359</v>
      </c>
      <c r="AB217" s="5"/>
      <c r="AC217" s="1"/>
      <c r="AD217" s="28"/>
      <c r="AE217" s="28"/>
      <c r="AF217" s="3"/>
      <c r="AG217" s="7"/>
      <c r="AH217" s="7"/>
      <c r="AI217" s="3" t="s">
        <v>178</v>
      </c>
      <c r="AJ217" s="7" t="s">
        <v>60</v>
      </c>
      <c r="AK217" s="3"/>
      <c r="AL217" cm="1">
        <f t="array" ref="AL217">IF(getColor(V217) = 16777215, 0, 1)</f>
        <v>0</v>
      </c>
    </row>
    <row r="218" spans="1:38">
      <c r="A218" s="1">
        <v>217</v>
      </c>
      <c r="B218" s="3" t="s">
        <v>27</v>
      </c>
      <c r="C218" s="7" t="s">
        <v>188</v>
      </c>
      <c r="D218" s="7" t="s">
        <v>189</v>
      </c>
      <c r="E218" s="8">
        <v>56.301111111111105</v>
      </c>
      <c r="F218" s="8">
        <v>-132.20944444444444</v>
      </c>
      <c r="G218" s="9" t="s">
        <v>30</v>
      </c>
      <c r="H218" s="3" t="s">
        <v>31</v>
      </c>
      <c r="I218" s="3" t="s">
        <v>31</v>
      </c>
      <c r="J218" s="3" t="s">
        <v>31</v>
      </c>
      <c r="K218" s="7" t="s">
        <v>52</v>
      </c>
      <c r="L218" s="9">
        <v>7</v>
      </c>
      <c r="M218" s="9">
        <v>15</v>
      </c>
      <c r="N218" s="9">
        <f t="shared" si="16"/>
        <v>8</v>
      </c>
      <c r="O218" s="9"/>
      <c r="P218" s="9"/>
      <c r="Q218" s="25"/>
      <c r="R218" s="11">
        <v>0</v>
      </c>
      <c r="S218" s="1">
        <v>0.15</v>
      </c>
      <c r="T218" s="1">
        <f t="shared" si="17"/>
        <v>0.15</v>
      </c>
      <c r="U218" s="12">
        <v>0</v>
      </c>
      <c r="V218" s="13">
        <v>50.15</v>
      </c>
      <c r="W218" s="14">
        <f t="shared" si="18"/>
        <v>6017.9999999999991</v>
      </c>
      <c r="X218" s="18"/>
      <c r="Y218" s="14">
        <f>T218*V218/100*N218*100*100*((100-U218)/100)</f>
        <v>6017.9999999999991</v>
      </c>
      <c r="Z218" s="3"/>
      <c r="AA218" s="3"/>
      <c r="AB218" s="5"/>
      <c r="AC218" s="5"/>
      <c r="AD218" s="28"/>
      <c r="AE218" s="28"/>
      <c r="AF218" s="3"/>
      <c r="AG218" s="7"/>
      <c r="AH218" s="7"/>
      <c r="AI218" s="3" t="s">
        <v>178</v>
      </c>
      <c r="AJ218" s="7" t="s">
        <v>76</v>
      </c>
      <c r="AK218" s="3"/>
      <c r="AL218" cm="1">
        <f t="array" ref="AL218">IF(getColor(V218) = 16777215, 0, 1)</f>
        <v>0</v>
      </c>
    </row>
    <row r="219" spans="1:38">
      <c r="A219" s="1">
        <v>218</v>
      </c>
      <c r="B219" s="3" t="s">
        <v>27</v>
      </c>
      <c r="C219" s="7" t="s">
        <v>188</v>
      </c>
      <c r="D219" s="7" t="s">
        <v>189</v>
      </c>
      <c r="E219" s="8">
        <v>56.301111111111105</v>
      </c>
      <c r="F219" s="8">
        <v>-132.20944444444444</v>
      </c>
      <c r="G219" s="9" t="s">
        <v>30</v>
      </c>
      <c r="H219" s="3" t="s">
        <v>31</v>
      </c>
      <c r="I219" s="3" t="s">
        <v>31</v>
      </c>
      <c r="J219" s="3" t="s">
        <v>31</v>
      </c>
      <c r="K219" s="7" t="s">
        <v>32</v>
      </c>
      <c r="L219" s="9">
        <v>15</v>
      </c>
      <c r="M219" s="9">
        <v>22</v>
      </c>
      <c r="N219" s="9">
        <f t="shared" si="16"/>
        <v>7</v>
      </c>
      <c r="O219" s="9"/>
      <c r="P219" s="9"/>
      <c r="Q219" s="25"/>
      <c r="R219" s="11">
        <v>0</v>
      </c>
      <c r="S219" s="1">
        <v>0.12</v>
      </c>
      <c r="T219" s="1">
        <f t="shared" si="17"/>
        <v>0.12</v>
      </c>
      <c r="U219" s="12">
        <v>0</v>
      </c>
      <c r="V219" s="13">
        <v>52.19</v>
      </c>
      <c r="W219" s="14">
        <f t="shared" si="18"/>
        <v>4383.9599999999991</v>
      </c>
      <c r="X219" s="18"/>
      <c r="Y219" s="14">
        <f>T219*V219/100*N219*100*100*((100-U219)/100)</f>
        <v>4383.9599999999991</v>
      </c>
      <c r="Z219" s="3"/>
      <c r="AA219" s="3"/>
      <c r="AB219" s="5"/>
      <c r="AC219" s="1"/>
      <c r="AD219" s="28"/>
      <c r="AE219" s="28"/>
      <c r="AF219" s="3"/>
      <c r="AG219" s="7"/>
      <c r="AH219" s="7"/>
      <c r="AI219" s="3" t="s">
        <v>178</v>
      </c>
      <c r="AJ219" s="7" t="s">
        <v>34</v>
      </c>
      <c r="AK219" s="3"/>
      <c r="AL219" cm="1">
        <f t="array" ref="AL219">IF(getColor(V219) = 16777215, 0, 1)</f>
        <v>0</v>
      </c>
    </row>
    <row r="220" spans="1:38">
      <c r="A220" s="1">
        <v>219</v>
      </c>
      <c r="B220" s="3" t="s">
        <v>27</v>
      </c>
      <c r="C220" s="7" t="s">
        <v>188</v>
      </c>
      <c r="D220" s="7" t="s">
        <v>189</v>
      </c>
      <c r="E220" s="8">
        <v>56.301111111111105</v>
      </c>
      <c r="F220" s="8">
        <v>-132.20944444444444</v>
      </c>
      <c r="G220" s="9" t="s">
        <v>30</v>
      </c>
      <c r="H220" s="3" t="s">
        <v>31</v>
      </c>
      <c r="I220" s="3" t="s">
        <v>31</v>
      </c>
      <c r="J220" s="3" t="s">
        <v>31</v>
      </c>
      <c r="K220" s="7" t="s">
        <v>35</v>
      </c>
      <c r="L220" s="9">
        <v>22</v>
      </c>
      <c r="M220" s="9">
        <v>45</v>
      </c>
      <c r="N220" s="9">
        <f t="shared" si="16"/>
        <v>23</v>
      </c>
      <c r="O220" s="9"/>
      <c r="P220" s="9"/>
      <c r="Q220" s="25"/>
      <c r="R220" s="11">
        <v>0</v>
      </c>
      <c r="S220" s="1">
        <v>0.12</v>
      </c>
      <c r="T220" s="1">
        <f t="shared" si="17"/>
        <v>0.12</v>
      </c>
      <c r="U220" s="12">
        <v>0</v>
      </c>
      <c r="V220" s="13">
        <v>53.6</v>
      </c>
      <c r="W220" s="14">
        <f t="shared" si="18"/>
        <v>14793.599999999999</v>
      </c>
      <c r="X220" s="18"/>
      <c r="Y220" s="14">
        <f>T220*V220/100*N220*100*100*((100-U220)/100)</f>
        <v>14793.599999999999</v>
      </c>
      <c r="Z220" s="3"/>
      <c r="AA220" s="3"/>
      <c r="AB220" s="5"/>
      <c r="AC220" s="1"/>
      <c r="AD220" s="28"/>
      <c r="AE220" s="28"/>
      <c r="AF220" s="3"/>
      <c r="AG220" s="7"/>
      <c r="AH220" s="7"/>
      <c r="AI220" s="3" t="s">
        <v>178</v>
      </c>
      <c r="AJ220" s="7" t="s">
        <v>36</v>
      </c>
      <c r="AK220" s="3"/>
      <c r="AL220" cm="1">
        <f t="array" ref="AL220">IF(getColor(V220) = 16777215, 0, 1)</f>
        <v>0</v>
      </c>
    </row>
    <row r="221" spans="1:38">
      <c r="A221" s="1">
        <v>220</v>
      </c>
      <c r="B221" s="3" t="s">
        <v>27</v>
      </c>
      <c r="C221" s="7" t="s">
        <v>188</v>
      </c>
      <c r="D221" s="7" t="s">
        <v>189</v>
      </c>
      <c r="E221" s="8">
        <v>56.301111111111105</v>
      </c>
      <c r="F221" s="8">
        <v>-132.20944444444444</v>
      </c>
      <c r="G221" s="9" t="s">
        <v>30</v>
      </c>
      <c r="H221" s="3" t="s">
        <v>31</v>
      </c>
      <c r="I221" s="3" t="s">
        <v>31</v>
      </c>
      <c r="J221" s="3" t="s">
        <v>31</v>
      </c>
      <c r="K221" s="7" t="s">
        <v>37</v>
      </c>
      <c r="L221" s="9">
        <v>45</v>
      </c>
      <c r="M221" s="9">
        <v>90</v>
      </c>
      <c r="N221" s="9">
        <f t="shared" si="16"/>
        <v>45</v>
      </c>
      <c r="O221" s="9"/>
      <c r="P221" s="9"/>
      <c r="Q221" s="25"/>
      <c r="R221" s="11">
        <v>0</v>
      </c>
      <c r="S221" s="1">
        <v>0.12</v>
      </c>
      <c r="T221" s="1">
        <f t="shared" si="17"/>
        <v>0.12</v>
      </c>
      <c r="U221" s="12">
        <v>0</v>
      </c>
      <c r="V221" s="13">
        <v>52.66</v>
      </c>
      <c r="W221" s="14">
        <f t="shared" si="18"/>
        <v>28436.399999999998</v>
      </c>
      <c r="X221" s="18"/>
      <c r="Y221" s="14">
        <f>T221*V221/100*N221*100*100*((100-U221)/100)</f>
        <v>28436.399999999998</v>
      </c>
      <c r="Z221" s="3"/>
      <c r="AA221" s="3"/>
      <c r="AB221" s="5"/>
      <c r="AC221" s="1"/>
      <c r="AD221" s="28"/>
      <c r="AE221" s="28"/>
      <c r="AF221" s="3"/>
      <c r="AG221" s="7"/>
      <c r="AH221" s="7"/>
      <c r="AI221" s="3" t="s">
        <v>178</v>
      </c>
      <c r="AJ221" s="7" t="s">
        <v>39</v>
      </c>
      <c r="AK221" s="3"/>
      <c r="AL221" cm="1">
        <f t="array" ref="AL221">IF(getColor(V221) = 16777215, 0, 1)</f>
        <v>0</v>
      </c>
    </row>
    <row r="222" spans="1:38">
      <c r="A222" s="1">
        <v>221</v>
      </c>
      <c r="B222" s="3" t="s">
        <v>27</v>
      </c>
      <c r="C222" s="7" t="s">
        <v>188</v>
      </c>
      <c r="D222" s="7" t="s">
        <v>189</v>
      </c>
      <c r="E222" s="8">
        <v>56.301111111111105</v>
      </c>
      <c r="F222" s="8">
        <v>-132.20944444444444</v>
      </c>
      <c r="G222" s="9" t="s">
        <v>30</v>
      </c>
      <c r="H222" s="3" t="s">
        <v>31</v>
      </c>
      <c r="I222" s="3" t="s">
        <v>31</v>
      </c>
      <c r="J222" s="3" t="s">
        <v>31</v>
      </c>
      <c r="K222" s="7" t="s">
        <v>54</v>
      </c>
      <c r="L222" s="9">
        <v>90</v>
      </c>
      <c r="M222" s="9">
        <v>130</v>
      </c>
      <c r="N222" s="9">
        <f t="shared" si="16"/>
        <v>40</v>
      </c>
      <c r="O222" s="9"/>
      <c r="P222" s="9"/>
      <c r="Q222" s="25"/>
      <c r="R222" s="11">
        <v>0</v>
      </c>
      <c r="S222" s="1">
        <v>0.12</v>
      </c>
      <c r="T222" s="1">
        <f t="shared" si="17"/>
        <v>0.12</v>
      </c>
      <c r="U222" s="12">
        <v>0</v>
      </c>
      <c r="V222" s="13">
        <v>54.92</v>
      </c>
      <c r="W222" s="14">
        <f t="shared" si="18"/>
        <v>26361.600000000006</v>
      </c>
      <c r="X222" s="18"/>
      <c r="Y222" s="14">
        <f>IF(L222&gt;-100,W222-W222*(ABS(M222)-100)/(ABS(M222)-ABS(L222)),0)</f>
        <v>6590.4000000000015</v>
      </c>
      <c r="Z222" s="3"/>
      <c r="AA222" s="3"/>
      <c r="AB222" s="5"/>
      <c r="AC222" s="1"/>
      <c r="AD222" s="28"/>
      <c r="AE222" s="28"/>
      <c r="AF222" s="3"/>
      <c r="AG222" s="7"/>
      <c r="AH222" s="7"/>
      <c r="AI222" s="3" t="s">
        <v>178</v>
      </c>
      <c r="AJ222" s="7" t="s">
        <v>55</v>
      </c>
      <c r="AK222" s="3"/>
      <c r="AL222" cm="1">
        <f t="array" ref="AL222">IF(getColor(V222) = 16777215, 0, 1)</f>
        <v>0</v>
      </c>
    </row>
    <row r="223" spans="1:38">
      <c r="A223" s="1">
        <v>222</v>
      </c>
      <c r="B223" s="3" t="s">
        <v>27</v>
      </c>
      <c r="C223" s="7" t="s">
        <v>190</v>
      </c>
      <c r="D223" s="7" t="s">
        <v>191</v>
      </c>
      <c r="E223" s="8">
        <v>56.301972222222219</v>
      </c>
      <c r="F223" s="8">
        <v>-132.20583333333332</v>
      </c>
      <c r="G223" s="9" t="s">
        <v>30</v>
      </c>
      <c r="H223" s="3" t="s">
        <v>31</v>
      </c>
      <c r="I223" s="3" t="s">
        <v>31</v>
      </c>
      <c r="J223" s="3" t="s">
        <v>31</v>
      </c>
      <c r="K223" s="7" t="s">
        <v>49</v>
      </c>
      <c r="L223" s="9">
        <v>0</v>
      </c>
      <c r="M223" s="9">
        <v>7</v>
      </c>
      <c r="N223" s="9">
        <f t="shared" si="16"/>
        <v>7</v>
      </c>
      <c r="O223" s="10">
        <f>M229-P223</f>
        <v>75</v>
      </c>
      <c r="P223" s="10">
        <f>M224</f>
        <v>25</v>
      </c>
      <c r="Q223" s="10">
        <f>O223+P223</f>
        <v>100</v>
      </c>
      <c r="R223" s="11">
        <v>0</v>
      </c>
      <c r="S223" s="1">
        <v>0.08</v>
      </c>
      <c r="T223" s="1">
        <f t="shared" si="17"/>
        <v>0.08</v>
      </c>
      <c r="U223" s="12">
        <v>0</v>
      </c>
      <c r="V223" s="13">
        <v>49.72</v>
      </c>
      <c r="W223" s="14">
        <f t="shared" si="18"/>
        <v>2784.32</v>
      </c>
      <c r="X223" s="14">
        <f>SUM(W223:W229)</f>
        <v>29232.822299999993</v>
      </c>
      <c r="Y223" s="14">
        <f t="shared" ref="Y223:Y243" si="19">T223*V223/100*N223*100*100*((100-U223)/100)</f>
        <v>2784.32</v>
      </c>
      <c r="Z223" s="15">
        <f>SUM(Y223:Y229)/10^6*10^4</f>
        <v>292.32822299999992</v>
      </c>
      <c r="AA223" s="16">
        <v>91.51542522298908</v>
      </c>
      <c r="AB223" s="5"/>
      <c r="AC223" s="1"/>
      <c r="AD223" s="28"/>
      <c r="AE223" s="28"/>
      <c r="AF223" s="3"/>
      <c r="AG223" s="7"/>
      <c r="AH223" s="7"/>
      <c r="AI223" s="3" t="s">
        <v>59</v>
      </c>
      <c r="AJ223" s="7" t="s">
        <v>60</v>
      </c>
      <c r="AK223" s="3"/>
      <c r="AL223" cm="1">
        <f t="array" ref="AL223">IF(getColor(V223) = 16777215, 0, 1)</f>
        <v>0</v>
      </c>
    </row>
    <row r="224" spans="1:38">
      <c r="A224" s="1">
        <v>223</v>
      </c>
      <c r="B224" s="3" t="s">
        <v>27</v>
      </c>
      <c r="C224" s="7" t="s">
        <v>190</v>
      </c>
      <c r="D224" s="7" t="s">
        <v>191</v>
      </c>
      <c r="E224" s="8">
        <v>56.301972222222219</v>
      </c>
      <c r="F224" s="8">
        <v>-132.20583333333332</v>
      </c>
      <c r="G224" s="9" t="s">
        <v>30</v>
      </c>
      <c r="H224" s="3" t="s">
        <v>31</v>
      </c>
      <c r="I224" s="3" t="s">
        <v>31</v>
      </c>
      <c r="J224" s="3" t="s">
        <v>31</v>
      </c>
      <c r="K224" s="7" t="s">
        <v>52</v>
      </c>
      <c r="L224" s="9">
        <v>7</v>
      </c>
      <c r="M224" s="9">
        <v>25</v>
      </c>
      <c r="N224" s="9">
        <f t="shared" si="16"/>
        <v>18</v>
      </c>
      <c r="O224" s="9"/>
      <c r="P224" s="9"/>
      <c r="Q224" s="25"/>
      <c r="R224" s="11">
        <v>0</v>
      </c>
      <c r="S224" s="1">
        <v>0.15</v>
      </c>
      <c r="T224" s="1">
        <f t="shared" si="17"/>
        <v>0.15</v>
      </c>
      <c r="U224" s="12">
        <v>0</v>
      </c>
      <c r="V224" s="13">
        <v>33.31</v>
      </c>
      <c r="W224" s="14">
        <f t="shared" si="18"/>
        <v>8993.6999999999989</v>
      </c>
      <c r="X224" s="18"/>
      <c r="Y224" s="14">
        <f t="shared" si="19"/>
        <v>8993.6999999999989</v>
      </c>
      <c r="Z224" s="3"/>
      <c r="AA224" s="3"/>
      <c r="AB224" s="5"/>
      <c r="AC224" s="5"/>
      <c r="AD224" s="28"/>
      <c r="AE224" s="28"/>
      <c r="AF224" s="3"/>
      <c r="AG224" s="7"/>
      <c r="AH224" s="7"/>
      <c r="AI224" s="3" t="s">
        <v>59</v>
      </c>
      <c r="AJ224" s="7" t="s">
        <v>76</v>
      </c>
      <c r="AK224" s="3"/>
      <c r="AL224" cm="1">
        <f t="array" ref="AL224">IF(getColor(V224) = 16777215, 0, 1)</f>
        <v>0</v>
      </c>
    </row>
    <row r="225" spans="1:38">
      <c r="A225" s="1">
        <v>224</v>
      </c>
      <c r="B225" s="3" t="s">
        <v>27</v>
      </c>
      <c r="C225" s="7" t="s">
        <v>190</v>
      </c>
      <c r="D225" s="7" t="s">
        <v>191</v>
      </c>
      <c r="E225" s="8">
        <v>56.301972222222219</v>
      </c>
      <c r="F225" s="8">
        <v>-132.20583333333332</v>
      </c>
      <c r="G225" s="9" t="s">
        <v>30</v>
      </c>
      <c r="H225" s="3" t="s">
        <v>31</v>
      </c>
      <c r="I225" s="3" t="s">
        <v>31</v>
      </c>
      <c r="J225" s="3" t="s">
        <v>31</v>
      </c>
      <c r="K225" s="7" t="s">
        <v>101</v>
      </c>
      <c r="L225" s="9">
        <v>25</v>
      </c>
      <c r="M225" s="9">
        <v>33</v>
      </c>
      <c r="N225" s="9">
        <f t="shared" si="16"/>
        <v>8</v>
      </c>
      <c r="O225" s="9"/>
      <c r="P225" s="9"/>
      <c r="Q225" s="25"/>
      <c r="R225" s="11">
        <v>1.1000000000000001</v>
      </c>
      <c r="S225" s="1">
        <v>0.86</v>
      </c>
      <c r="T225" s="1">
        <f t="shared" si="17"/>
        <v>1.1000000000000001</v>
      </c>
      <c r="U225" s="12">
        <v>1</v>
      </c>
      <c r="V225" s="13">
        <v>7.25</v>
      </c>
      <c r="W225" s="14">
        <f t="shared" si="18"/>
        <v>6316.2</v>
      </c>
      <c r="X225" s="18"/>
      <c r="Y225" s="14">
        <f t="shared" si="19"/>
        <v>6316.2</v>
      </c>
      <c r="Z225" s="3"/>
      <c r="AA225" s="3"/>
      <c r="AB225" s="5"/>
      <c r="AC225" s="1"/>
      <c r="AD225" s="28"/>
      <c r="AE225" s="28"/>
      <c r="AF225" s="3"/>
      <c r="AG225" s="7"/>
      <c r="AH225" s="7"/>
      <c r="AI225" s="3" t="s">
        <v>59</v>
      </c>
      <c r="AJ225" s="7" t="s">
        <v>102</v>
      </c>
      <c r="AK225" s="3"/>
      <c r="AL225" cm="1">
        <f t="array" ref="AL225">IF(getColor(V225) = 16777215, 0, 1)</f>
        <v>0</v>
      </c>
    </row>
    <row r="226" spans="1:38">
      <c r="A226" s="1">
        <v>225</v>
      </c>
      <c r="B226" s="3" t="s">
        <v>27</v>
      </c>
      <c r="C226" s="7" t="s">
        <v>190</v>
      </c>
      <c r="D226" s="7" t="s">
        <v>191</v>
      </c>
      <c r="E226" s="8">
        <v>56.301972222222219</v>
      </c>
      <c r="F226" s="8">
        <v>-132.20583333333332</v>
      </c>
      <c r="G226" s="9" t="s">
        <v>30</v>
      </c>
      <c r="H226" s="3" t="s">
        <v>31</v>
      </c>
      <c r="I226" s="3" t="s">
        <v>31</v>
      </c>
      <c r="J226" s="3" t="s">
        <v>31</v>
      </c>
      <c r="K226" s="7" t="s">
        <v>103</v>
      </c>
      <c r="L226" s="9">
        <v>33</v>
      </c>
      <c r="M226" s="9">
        <v>40</v>
      </c>
      <c r="N226" s="9">
        <f t="shared" si="16"/>
        <v>7</v>
      </c>
      <c r="O226" s="9"/>
      <c r="P226" s="9"/>
      <c r="Q226" s="25"/>
      <c r="R226" s="11">
        <v>1.8</v>
      </c>
      <c r="S226" s="1">
        <v>0.86</v>
      </c>
      <c r="T226" s="1">
        <f t="shared" si="17"/>
        <v>1.8</v>
      </c>
      <c r="U226" s="12">
        <v>3</v>
      </c>
      <c r="V226" s="13">
        <v>3.35</v>
      </c>
      <c r="W226" s="14">
        <f t="shared" si="18"/>
        <v>4094.37</v>
      </c>
      <c r="X226" s="18"/>
      <c r="Y226" s="14">
        <f t="shared" si="19"/>
        <v>4094.37</v>
      </c>
      <c r="Z226" s="3"/>
      <c r="AA226" s="3"/>
      <c r="AB226" s="5"/>
      <c r="AC226" s="1"/>
      <c r="AD226" s="28"/>
      <c r="AE226" s="28"/>
      <c r="AF226" s="3"/>
      <c r="AG226" s="7"/>
      <c r="AH226" s="7"/>
      <c r="AI226" s="3" t="s">
        <v>59</v>
      </c>
      <c r="AJ226" s="7" t="s">
        <v>104</v>
      </c>
      <c r="AK226" s="3"/>
      <c r="AL226" cm="1">
        <f t="array" ref="AL226">IF(getColor(V226) = 16777215, 0, 1)</f>
        <v>0</v>
      </c>
    </row>
    <row r="227" spans="1:38">
      <c r="A227" s="1">
        <v>226</v>
      </c>
      <c r="B227" s="3" t="s">
        <v>27</v>
      </c>
      <c r="C227" s="7" t="s">
        <v>190</v>
      </c>
      <c r="D227" s="7" t="s">
        <v>191</v>
      </c>
      <c r="E227" s="8">
        <v>56.301972222222219</v>
      </c>
      <c r="F227" s="8">
        <v>-132.20583333333332</v>
      </c>
      <c r="G227" s="9" t="s">
        <v>30</v>
      </c>
      <c r="H227" s="3" t="s">
        <v>31</v>
      </c>
      <c r="I227" s="3" t="s">
        <v>31</v>
      </c>
      <c r="J227" s="3" t="s">
        <v>31</v>
      </c>
      <c r="K227" s="7" t="s">
        <v>41</v>
      </c>
      <c r="L227" s="9">
        <v>40</v>
      </c>
      <c r="M227" s="9">
        <v>53</v>
      </c>
      <c r="N227" s="9">
        <f t="shared" si="16"/>
        <v>13</v>
      </c>
      <c r="O227" s="9"/>
      <c r="P227" s="9"/>
      <c r="Q227" s="25"/>
      <c r="R227" s="11">
        <v>1.33</v>
      </c>
      <c r="S227" s="1">
        <v>1.17</v>
      </c>
      <c r="T227" s="1">
        <f t="shared" si="17"/>
        <v>1.33</v>
      </c>
      <c r="U227" s="12">
        <v>2</v>
      </c>
      <c r="V227" s="13">
        <v>2.4500000000000002</v>
      </c>
      <c r="W227" s="14">
        <f t="shared" si="18"/>
        <v>4151.3289999999997</v>
      </c>
      <c r="X227" s="18"/>
      <c r="Y227" s="14">
        <f t="shared" si="19"/>
        <v>4151.3289999999997</v>
      </c>
      <c r="Z227" s="3"/>
      <c r="AA227" s="3"/>
      <c r="AB227" s="5"/>
      <c r="AC227" s="1"/>
      <c r="AD227" s="28"/>
      <c r="AE227" s="28"/>
      <c r="AF227" s="3"/>
      <c r="AG227" s="7"/>
      <c r="AH227" s="7"/>
      <c r="AI227" s="3" t="s">
        <v>59</v>
      </c>
      <c r="AJ227" s="7" t="s">
        <v>61</v>
      </c>
      <c r="AK227" s="3"/>
      <c r="AL227" cm="1">
        <f t="array" ref="AL227">IF(getColor(V227) = 16777215, 0, 1)</f>
        <v>0</v>
      </c>
    </row>
    <row r="228" spans="1:38">
      <c r="A228" s="1">
        <v>227</v>
      </c>
      <c r="B228" s="3" t="s">
        <v>27</v>
      </c>
      <c r="C228" s="7" t="s">
        <v>190</v>
      </c>
      <c r="D228" s="7" t="s">
        <v>191</v>
      </c>
      <c r="E228" s="8">
        <v>56.301972222222219</v>
      </c>
      <c r="F228" s="8">
        <v>-132.20583333333332</v>
      </c>
      <c r="G228" s="9" t="s">
        <v>30</v>
      </c>
      <c r="H228" s="3" t="s">
        <v>31</v>
      </c>
      <c r="I228" s="3" t="s">
        <v>31</v>
      </c>
      <c r="J228" s="3" t="s">
        <v>31</v>
      </c>
      <c r="K228" s="7" t="s">
        <v>80</v>
      </c>
      <c r="L228" s="9">
        <v>53</v>
      </c>
      <c r="M228" s="9">
        <v>80</v>
      </c>
      <c r="N228" s="9">
        <f t="shared" si="16"/>
        <v>27</v>
      </c>
      <c r="O228" s="9"/>
      <c r="P228" s="9"/>
      <c r="Q228" s="25"/>
      <c r="R228" s="11">
        <v>1.93</v>
      </c>
      <c r="S228" s="1">
        <v>1.74</v>
      </c>
      <c r="T228" s="1">
        <f t="shared" si="17"/>
        <v>1.93</v>
      </c>
      <c r="U228" s="12">
        <v>21</v>
      </c>
      <c r="V228" s="13">
        <v>0.37</v>
      </c>
      <c r="W228" s="14">
        <f t="shared" si="18"/>
        <v>1523.1753000000001</v>
      </c>
      <c r="X228" s="18"/>
      <c r="Y228" s="14">
        <f t="shared" si="19"/>
        <v>1523.1753000000001</v>
      </c>
      <c r="Z228" s="3"/>
      <c r="AA228" s="3"/>
      <c r="AB228" s="5"/>
      <c r="AC228" s="1"/>
      <c r="AD228" s="28"/>
      <c r="AE228" s="28"/>
      <c r="AF228" s="3"/>
      <c r="AG228" s="7"/>
      <c r="AH228" s="7"/>
      <c r="AI228" s="3" t="s">
        <v>59</v>
      </c>
      <c r="AJ228" s="7" t="s">
        <v>80</v>
      </c>
      <c r="AK228" s="3"/>
      <c r="AL228" cm="1">
        <f t="array" ref="AL228">IF(getColor(V228) = 16777215, 0, 1)</f>
        <v>0</v>
      </c>
    </row>
    <row r="229" spans="1:38">
      <c r="A229" s="1">
        <v>228</v>
      </c>
      <c r="B229" s="3" t="s">
        <v>27</v>
      </c>
      <c r="C229" s="7" t="s">
        <v>190</v>
      </c>
      <c r="D229" s="7" t="s">
        <v>191</v>
      </c>
      <c r="E229" s="8">
        <v>56.301972222222219</v>
      </c>
      <c r="F229" s="8">
        <v>-132.20583333333332</v>
      </c>
      <c r="G229" s="9" t="s">
        <v>30</v>
      </c>
      <c r="H229" s="3" t="s">
        <v>31</v>
      </c>
      <c r="I229" s="3" t="s">
        <v>31</v>
      </c>
      <c r="J229" s="3" t="s">
        <v>31</v>
      </c>
      <c r="K229" s="7" t="s">
        <v>81</v>
      </c>
      <c r="L229" s="9">
        <v>80</v>
      </c>
      <c r="M229" s="9">
        <v>100</v>
      </c>
      <c r="N229" s="9">
        <f t="shared" si="16"/>
        <v>20</v>
      </c>
      <c r="O229" s="9"/>
      <c r="P229" s="9"/>
      <c r="Q229" s="25"/>
      <c r="R229" s="11">
        <v>0</v>
      </c>
      <c r="S229" s="1">
        <v>1.74</v>
      </c>
      <c r="T229" s="1">
        <f t="shared" si="17"/>
        <v>1.74</v>
      </c>
      <c r="U229" s="12">
        <v>18</v>
      </c>
      <c r="V229" s="13">
        <v>0.48</v>
      </c>
      <c r="W229" s="14">
        <f t="shared" si="18"/>
        <v>1369.7280000000001</v>
      </c>
      <c r="X229" s="18"/>
      <c r="Y229" s="14">
        <f t="shared" si="19"/>
        <v>1369.7280000000001</v>
      </c>
      <c r="Z229" s="3"/>
      <c r="AA229" s="3"/>
      <c r="AB229" s="5"/>
      <c r="AC229" s="1"/>
      <c r="AD229" s="28"/>
      <c r="AE229" s="28"/>
      <c r="AF229" s="3"/>
      <c r="AG229" s="7"/>
      <c r="AH229" s="7"/>
      <c r="AI229" s="3" t="s">
        <v>59</v>
      </c>
      <c r="AJ229" s="7" t="s">
        <v>81</v>
      </c>
      <c r="AK229" s="3"/>
      <c r="AL229" cm="1">
        <f t="array" ref="AL229">IF(getColor(V229) = 16777215, 0, 1)</f>
        <v>0</v>
      </c>
    </row>
    <row r="230" spans="1:38">
      <c r="A230" s="1">
        <v>229</v>
      </c>
      <c r="B230" s="3" t="s">
        <v>27</v>
      </c>
      <c r="C230" s="7" t="s">
        <v>192</v>
      </c>
      <c r="D230" s="34" t="s">
        <v>193</v>
      </c>
      <c r="E230" s="8">
        <v>56.30211111111111</v>
      </c>
      <c r="F230" s="8">
        <v>-132.20613888888889</v>
      </c>
      <c r="G230" s="9" t="s">
        <v>30</v>
      </c>
      <c r="H230" s="3" t="s">
        <v>31</v>
      </c>
      <c r="I230" s="3" t="s">
        <v>31</v>
      </c>
      <c r="J230" s="3" t="s">
        <v>31</v>
      </c>
      <c r="K230" s="7" t="s">
        <v>49</v>
      </c>
      <c r="L230" s="9">
        <v>0</v>
      </c>
      <c r="M230" s="9">
        <v>7</v>
      </c>
      <c r="N230" s="9">
        <f t="shared" si="16"/>
        <v>7</v>
      </c>
      <c r="O230" s="10">
        <f>M236-P230</f>
        <v>86</v>
      </c>
      <c r="P230" s="10">
        <f>M231</f>
        <v>14</v>
      </c>
      <c r="Q230" s="10">
        <f>O230+P230</f>
        <v>100</v>
      </c>
      <c r="R230" s="17">
        <v>0</v>
      </c>
      <c r="S230" s="1">
        <v>0.08</v>
      </c>
      <c r="T230" s="1">
        <f t="shared" si="17"/>
        <v>0.08</v>
      </c>
      <c r="U230" s="12">
        <v>0</v>
      </c>
      <c r="V230" s="13">
        <v>50.37</v>
      </c>
      <c r="W230" s="14">
        <f t="shared" si="18"/>
        <v>2820.7200000000003</v>
      </c>
      <c r="X230" s="14">
        <f>SUM(W230:W238)</f>
        <v>37983.138000000006</v>
      </c>
      <c r="Y230" s="14">
        <f t="shared" si="19"/>
        <v>2820.7200000000003</v>
      </c>
      <c r="Z230" s="15">
        <f>SUM(Y230:Y238)/10^6*10^4</f>
        <v>379.83138000000008</v>
      </c>
      <c r="AA230" s="16">
        <v>50.710194000000001</v>
      </c>
      <c r="AB230" s="5"/>
      <c r="AC230" s="1"/>
      <c r="AD230" s="28"/>
      <c r="AE230" s="28"/>
      <c r="AF230" s="3"/>
      <c r="AG230" s="34"/>
      <c r="AH230" s="7"/>
      <c r="AI230" s="3" t="s">
        <v>59</v>
      </c>
      <c r="AJ230" s="7" t="s">
        <v>60</v>
      </c>
      <c r="AK230" s="3"/>
      <c r="AL230" cm="1">
        <f t="array" ref="AL230">IF(getColor(V230) = 16777215, 0, 1)</f>
        <v>0</v>
      </c>
    </row>
    <row r="231" spans="1:38">
      <c r="A231" s="1">
        <v>230</v>
      </c>
      <c r="B231" s="3" t="s">
        <v>27</v>
      </c>
      <c r="C231" s="7" t="s">
        <v>192</v>
      </c>
      <c r="D231" s="34" t="s">
        <v>193</v>
      </c>
      <c r="E231" s="8">
        <v>56.30211111111111</v>
      </c>
      <c r="F231" s="8">
        <v>-132.20613888888889</v>
      </c>
      <c r="G231" s="9" t="s">
        <v>30</v>
      </c>
      <c r="H231" s="3" t="s">
        <v>31</v>
      </c>
      <c r="I231" s="3" t="s">
        <v>31</v>
      </c>
      <c r="J231" s="3" t="s">
        <v>31</v>
      </c>
      <c r="K231" s="7" t="s">
        <v>52</v>
      </c>
      <c r="L231" s="9">
        <v>7</v>
      </c>
      <c r="M231" s="9">
        <v>14</v>
      </c>
      <c r="N231" s="9">
        <f t="shared" si="16"/>
        <v>7</v>
      </c>
      <c r="O231" s="9"/>
      <c r="P231" s="9"/>
      <c r="Q231" s="25"/>
      <c r="R231" s="17">
        <v>0</v>
      </c>
      <c r="S231" s="1">
        <v>0.15</v>
      </c>
      <c r="T231" s="1">
        <f t="shared" si="17"/>
        <v>0.15</v>
      </c>
      <c r="U231" s="12">
        <v>0</v>
      </c>
      <c r="V231" s="13">
        <v>40.409999999999997</v>
      </c>
      <c r="W231" s="14">
        <f t="shared" si="18"/>
        <v>4243.05</v>
      </c>
      <c r="X231" s="18"/>
      <c r="Y231" s="14">
        <f t="shared" si="19"/>
        <v>4243.05</v>
      </c>
      <c r="Z231" s="3"/>
      <c r="AA231" s="3"/>
      <c r="AB231" s="5"/>
      <c r="AC231" s="5"/>
      <c r="AD231" s="28"/>
      <c r="AE231" s="28"/>
      <c r="AF231" s="3"/>
      <c r="AG231" s="34"/>
      <c r="AH231" s="7"/>
      <c r="AI231" s="3" t="s">
        <v>59</v>
      </c>
      <c r="AJ231" s="7" t="s">
        <v>76</v>
      </c>
      <c r="AK231" s="3"/>
      <c r="AL231" cm="1">
        <f t="array" ref="AL231">IF(getColor(V231) = 16777215, 0, 1)</f>
        <v>0</v>
      </c>
    </row>
    <row r="232" spans="1:38">
      <c r="A232" s="1">
        <v>231</v>
      </c>
      <c r="B232" s="3" t="s">
        <v>27</v>
      </c>
      <c r="C232" s="7" t="s">
        <v>192</v>
      </c>
      <c r="D232" s="34" t="s">
        <v>193</v>
      </c>
      <c r="E232" s="8">
        <v>56.30211111111111</v>
      </c>
      <c r="F232" s="8">
        <v>-132.20613888888889</v>
      </c>
      <c r="G232" s="9" t="s">
        <v>30</v>
      </c>
      <c r="H232" s="3" t="s">
        <v>31</v>
      </c>
      <c r="I232" s="3" t="s">
        <v>31</v>
      </c>
      <c r="J232" s="3" t="s">
        <v>31</v>
      </c>
      <c r="K232" s="7" t="s">
        <v>194</v>
      </c>
      <c r="L232" s="9">
        <v>14</v>
      </c>
      <c r="M232" s="9">
        <v>19</v>
      </c>
      <c r="N232" s="9">
        <f t="shared" si="16"/>
        <v>5</v>
      </c>
      <c r="O232" s="9"/>
      <c r="P232" s="9"/>
      <c r="Q232" s="25"/>
      <c r="R232" s="17">
        <v>0</v>
      </c>
      <c r="S232" s="1">
        <v>0.93</v>
      </c>
      <c r="T232" s="1">
        <f t="shared" si="17"/>
        <v>0.93</v>
      </c>
      <c r="U232" s="12">
        <v>1</v>
      </c>
      <c r="V232" s="13">
        <v>12.64</v>
      </c>
      <c r="W232" s="14">
        <f t="shared" si="18"/>
        <v>5818.8240000000005</v>
      </c>
      <c r="X232" s="18"/>
      <c r="Y232" s="14">
        <f t="shared" si="19"/>
        <v>5818.8240000000005</v>
      </c>
      <c r="Z232" s="3"/>
      <c r="AA232" s="3"/>
      <c r="AB232" s="5"/>
      <c r="AC232" s="1"/>
      <c r="AD232" s="28"/>
      <c r="AE232" s="28"/>
      <c r="AF232" s="3"/>
      <c r="AG232" s="34"/>
      <c r="AH232" s="7"/>
      <c r="AI232" s="3" t="s">
        <v>59</v>
      </c>
      <c r="AJ232" s="7" t="s">
        <v>194</v>
      </c>
      <c r="AK232" s="3"/>
      <c r="AL232" cm="1">
        <f t="array" ref="AL232">IF(getColor(V232) = 16777215, 0, 1)</f>
        <v>0</v>
      </c>
    </row>
    <row r="233" spans="1:38">
      <c r="A233" s="1">
        <v>232</v>
      </c>
      <c r="B233" s="3" t="s">
        <v>27</v>
      </c>
      <c r="C233" s="7" t="s">
        <v>192</v>
      </c>
      <c r="D233" s="34" t="s">
        <v>193</v>
      </c>
      <c r="E233" s="8">
        <v>56.30211111111111</v>
      </c>
      <c r="F233" s="8">
        <v>-132.20613888888889</v>
      </c>
      <c r="G233" s="9" t="s">
        <v>30</v>
      </c>
      <c r="H233" s="3" t="s">
        <v>31</v>
      </c>
      <c r="I233" s="3" t="s">
        <v>31</v>
      </c>
      <c r="J233" s="3" t="s">
        <v>31</v>
      </c>
      <c r="K233" s="7" t="s">
        <v>68</v>
      </c>
      <c r="L233" s="9">
        <v>19</v>
      </c>
      <c r="M233" s="9">
        <v>26</v>
      </c>
      <c r="N233" s="9">
        <f t="shared" si="16"/>
        <v>7</v>
      </c>
      <c r="O233" s="9"/>
      <c r="P233" s="9"/>
      <c r="Q233" s="25"/>
      <c r="R233" s="11">
        <v>1.07</v>
      </c>
      <c r="S233" s="1">
        <v>0.86</v>
      </c>
      <c r="T233" s="1">
        <f t="shared" si="17"/>
        <v>1.07</v>
      </c>
      <c r="U233" s="12">
        <v>0</v>
      </c>
      <c r="V233" s="13">
        <v>4.16</v>
      </c>
      <c r="W233" s="14">
        <f t="shared" si="18"/>
        <v>3115.8400000000006</v>
      </c>
      <c r="X233" s="18"/>
      <c r="Y233" s="14">
        <f t="shared" si="19"/>
        <v>3115.8400000000006</v>
      </c>
      <c r="Z233" s="3"/>
      <c r="AA233" s="3"/>
      <c r="AB233" s="5"/>
      <c r="AC233" s="1"/>
      <c r="AD233" s="28"/>
      <c r="AE233" s="28"/>
      <c r="AF233" s="3"/>
      <c r="AG233" s="34"/>
      <c r="AH233" s="7"/>
      <c r="AI233" s="3" t="s">
        <v>59</v>
      </c>
      <c r="AJ233" s="7" t="s">
        <v>68</v>
      </c>
      <c r="AK233" s="3"/>
      <c r="AL233" cm="1">
        <f t="array" ref="AL233">IF(getColor(V233) = 16777215, 0, 1)</f>
        <v>0</v>
      </c>
    </row>
    <row r="234" spans="1:38">
      <c r="A234" s="1">
        <v>233</v>
      </c>
      <c r="B234" s="3" t="s">
        <v>27</v>
      </c>
      <c r="C234" s="7" t="s">
        <v>192</v>
      </c>
      <c r="D234" s="34" t="s">
        <v>193</v>
      </c>
      <c r="E234" s="8">
        <v>56.30211111111111</v>
      </c>
      <c r="F234" s="8">
        <v>-132.20613888888889</v>
      </c>
      <c r="G234" s="9" t="s">
        <v>30</v>
      </c>
      <c r="H234" s="3" t="s">
        <v>31</v>
      </c>
      <c r="I234" s="3" t="s">
        <v>31</v>
      </c>
      <c r="J234" s="3" t="s">
        <v>31</v>
      </c>
      <c r="K234" s="7" t="s">
        <v>69</v>
      </c>
      <c r="L234" s="9">
        <v>26</v>
      </c>
      <c r="M234" s="9">
        <v>43</v>
      </c>
      <c r="N234" s="9">
        <f t="shared" si="16"/>
        <v>17</v>
      </c>
      <c r="O234" s="9"/>
      <c r="P234" s="9"/>
      <c r="Q234" s="25"/>
      <c r="R234" s="11">
        <v>1.68</v>
      </c>
      <c r="S234" s="1">
        <v>1.17</v>
      </c>
      <c r="T234" s="1">
        <f t="shared" si="17"/>
        <v>1.68</v>
      </c>
      <c r="U234" s="12">
        <v>2</v>
      </c>
      <c r="V234" s="13">
        <v>2.93</v>
      </c>
      <c r="W234" s="14">
        <f t="shared" si="18"/>
        <v>8200.7183999999997</v>
      </c>
      <c r="X234" s="18"/>
      <c r="Y234" s="14">
        <f t="shared" si="19"/>
        <v>8200.7183999999997</v>
      </c>
      <c r="Z234" s="3"/>
      <c r="AA234" s="3"/>
      <c r="AB234" s="5"/>
      <c r="AC234" s="1"/>
      <c r="AD234" s="28"/>
      <c r="AE234" s="28"/>
      <c r="AF234" s="3"/>
      <c r="AG234" s="34"/>
      <c r="AH234" s="7"/>
      <c r="AI234" s="3" t="s">
        <v>59</v>
      </c>
      <c r="AJ234" s="7" t="s">
        <v>70</v>
      </c>
      <c r="AK234" s="3"/>
      <c r="AL234" cm="1">
        <f t="array" ref="AL234">IF(getColor(V234) = 16777215, 0, 1)</f>
        <v>0</v>
      </c>
    </row>
    <row r="235" spans="1:38">
      <c r="A235" s="1">
        <v>234</v>
      </c>
      <c r="B235" s="3" t="s">
        <v>27</v>
      </c>
      <c r="C235" s="7" t="s">
        <v>192</v>
      </c>
      <c r="D235" s="34" t="s">
        <v>193</v>
      </c>
      <c r="E235" s="8">
        <v>56.30211111111111</v>
      </c>
      <c r="F235" s="8">
        <v>-132.20613888888889</v>
      </c>
      <c r="G235" s="9" t="s">
        <v>30</v>
      </c>
      <c r="H235" s="3" t="s">
        <v>31</v>
      </c>
      <c r="I235" s="3" t="s">
        <v>31</v>
      </c>
      <c r="J235" s="3" t="s">
        <v>31</v>
      </c>
      <c r="K235" s="7" t="s">
        <v>71</v>
      </c>
      <c r="L235" s="9">
        <v>43</v>
      </c>
      <c r="M235" s="9">
        <v>66</v>
      </c>
      <c r="N235" s="9">
        <f t="shared" si="16"/>
        <v>23</v>
      </c>
      <c r="O235" s="9"/>
      <c r="P235" s="9"/>
      <c r="Q235" s="25"/>
      <c r="R235" s="11">
        <v>1.52</v>
      </c>
      <c r="S235" s="1">
        <v>1.17</v>
      </c>
      <c r="T235" s="1">
        <f t="shared" si="17"/>
        <v>1.52</v>
      </c>
      <c r="U235" s="12">
        <v>2</v>
      </c>
      <c r="V235" s="13">
        <v>2.74</v>
      </c>
      <c r="W235" s="14">
        <f t="shared" si="18"/>
        <v>9387.4592000000011</v>
      </c>
      <c r="X235" s="18"/>
      <c r="Y235" s="14">
        <f t="shared" si="19"/>
        <v>9387.4592000000011</v>
      </c>
      <c r="Z235" s="3"/>
      <c r="AA235" s="3"/>
      <c r="AB235" s="5"/>
      <c r="AC235" s="1"/>
      <c r="AD235" s="28"/>
      <c r="AE235" s="28"/>
      <c r="AF235" s="3"/>
      <c r="AG235" s="34"/>
      <c r="AH235" s="7"/>
      <c r="AI235" s="3" t="s">
        <v>59</v>
      </c>
      <c r="AJ235" s="7" t="s">
        <v>72</v>
      </c>
      <c r="AK235" s="3"/>
      <c r="AL235" cm="1">
        <f t="array" ref="AL235">IF(getColor(V235) = 16777215, 0, 1)</f>
        <v>0</v>
      </c>
    </row>
    <row r="236" spans="1:38">
      <c r="A236" s="1">
        <v>235</v>
      </c>
      <c r="B236" s="3" t="s">
        <v>27</v>
      </c>
      <c r="C236" s="7" t="s">
        <v>192</v>
      </c>
      <c r="D236" s="34" t="s">
        <v>193</v>
      </c>
      <c r="E236" s="8">
        <v>56.30211111111111</v>
      </c>
      <c r="F236" s="8">
        <v>-132.20613888888889</v>
      </c>
      <c r="G236" s="9" t="s">
        <v>30</v>
      </c>
      <c r="H236" s="3" t="s">
        <v>31</v>
      </c>
      <c r="I236" s="3" t="s">
        <v>31</v>
      </c>
      <c r="J236" s="3" t="s">
        <v>31</v>
      </c>
      <c r="K236" s="7" t="s">
        <v>44</v>
      </c>
      <c r="L236" s="9">
        <v>66</v>
      </c>
      <c r="M236" s="9">
        <v>100</v>
      </c>
      <c r="N236" s="9">
        <f t="shared" si="16"/>
        <v>34</v>
      </c>
      <c r="O236" s="9"/>
      <c r="P236" s="9"/>
      <c r="Q236" s="25"/>
      <c r="R236" s="11">
        <v>1.79</v>
      </c>
      <c r="S236" s="1">
        <v>1.74</v>
      </c>
      <c r="T236" s="1">
        <f t="shared" si="17"/>
        <v>1.79</v>
      </c>
      <c r="U236" s="12">
        <v>14</v>
      </c>
      <c r="V236" s="13">
        <v>0.84</v>
      </c>
      <c r="W236" s="14">
        <f t="shared" si="18"/>
        <v>4396.5263999999997</v>
      </c>
      <c r="X236" s="18"/>
      <c r="Y236" s="14">
        <f t="shared" si="19"/>
        <v>4396.5263999999997</v>
      </c>
      <c r="Z236" s="3"/>
      <c r="AA236" s="3"/>
      <c r="AB236" s="5"/>
      <c r="AC236" s="1"/>
      <c r="AD236" s="28"/>
      <c r="AE236" s="28"/>
      <c r="AF236" s="3"/>
      <c r="AG236" s="34"/>
      <c r="AH236" s="7"/>
      <c r="AI236" s="3" t="s">
        <v>59</v>
      </c>
      <c r="AJ236" s="7" t="s">
        <v>44</v>
      </c>
      <c r="AK236" s="3"/>
      <c r="AL236" cm="1">
        <f t="array" ref="AL236">IF(getColor(V236) = 16777215, 0, 1)</f>
        <v>0</v>
      </c>
    </row>
    <row r="237" spans="1:38">
      <c r="A237" s="1">
        <v>236</v>
      </c>
      <c r="B237" s="3" t="s">
        <v>27</v>
      </c>
      <c r="C237" s="7" t="s">
        <v>192</v>
      </c>
      <c r="D237" s="34" t="s">
        <v>193</v>
      </c>
      <c r="E237" s="8">
        <v>56.30211111111111</v>
      </c>
      <c r="F237" s="8">
        <v>-132.20613888888889</v>
      </c>
      <c r="G237" s="9" t="s">
        <v>30</v>
      </c>
      <c r="H237" s="3" t="s">
        <v>31</v>
      </c>
      <c r="I237" s="3" t="s">
        <v>31</v>
      </c>
      <c r="J237" s="3" t="s">
        <v>31</v>
      </c>
      <c r="K237" s="7" t="s">
        <v>195</v>
      </c>
      <c r="L237" s="9">
        <v>42</v>
      </c>
      <c r="M237" s="9">
        <v>48</v>
      </c>
      <c r="N237" s="9">
        <f t="shared" si="16"/>
        <v>6</v>
      </c>
      <c r="O237" s="9"/>
      <c r="P237" s="9"/>
      <c r="Q237" s="9"/>
      <c r="R237" s="11">
        <v>0</v>
      </c>
      <c r="S237" s="1">
        <v>0</v>
      </c>
      <c r="T237" s="1">
        <f t="shared" si="17"/>
        <v>0</v>
      </c>
      <c r="U237" s="12">
        <v>1</v>
      </c>
      <c r="V237" s="13">
        <v>1.76</v>
      </c>
      <c r="W237" s="14">
        <f t="shared" si="18"/>
        <v>0</v>
      </c>
      <c r="X237" s="18"/>
      <c r="Y237" s="14">
        <f t="shared" si="19"/>
        <v>0</v>
      </c>
      <c r="Z237" s="3"/>
      <c r="AA237" s="3"/>
      <c r="AB237" s="5"/>
      <c r="AC237" s="1"/>
      <c r="AD237" s="28"/>
      <c r="AE237" s="28"/>
      <c r="AF237" s="3"/>
      <c r="AG237" s="34"/>
      <c r="AH237" s="7"/>
      <c r="AI237" s="3" t="s">
        <v>59</v>
      </c>
      <c r="AJ237" s="7" t="s">
        <v>195</v>
      </c>
      <c r="AK237" s="3"/>
      <c r="AL237" cm="1">
        <f t="array" ref="AL237">IF(getColor(V237) = 16777215, 0, 1)</f>
        <v>0</v>
      </c>
    </row>
    <row r="238" spans="1:38">
      <c r="A238" s="1">
        <v>237</v>
      </c>
      <c r="B238" s="3" t="s">
        <v>27</v>
      </c>
      <c r="C238" s="7" t="s">
        <v>192</v>
      </c>
      <c r="D238" s="34" t="s">
        <v>193</v>
      </c>
      <c r="E238" s="8">
        <v>56.30211111111111</v>
      </c>
      <c r="F238" s="8">
        <v>-132.20613888888889</v>
      </c>
      <c r="G238" s="9" t="s">
        <v>30</v>
      </c>
      <c r="H238" s="3" t="s">
        <v>31</v>
      </c>
      <c r="I238" s="3" t="s">
        <v>31</v>
      </c>
      <c r="J238" s="3" t="s">
        <v>31</v>
      </c>
      <c r="K238" s="7" t="s">
        <v>195</v>
      </c>
      <c r="L238" s="9">
        <v>44</v>
      </c>
      <c r="M238" s="9">
        <v>46</v>
      </c>
      <c r="N238" s="9">
        <f t="shared" si="16"/>
        <v>2</v>
      </c>
      <c r="O238" s="9"/>
      <c r="P238" s="9"/>
      <c r="Q238" s="9"/>
      <c r="R238" s="11">
        <v>0</v>
      </c>
      <c r="S238" s="1">
        <v>0</v>
      </c>
      <c r="T238" s="1">
        <f t="shared" si="17"/>
        <v>0</v>
      </c>
      <c r="U238" s="12">
        <v>0</v>
      </c>
      <c r="V238" s="13">
        <v>15.75</v>
      </c>
      <c r="W238" s="14">
        <f t="shared" si="18"/>
        <v>0</v>
      </c>
      <c r="X238" s="18"/>
      <c r="Y238" s="14">
        <f t="shared" si="19"/>
        <v>0</v>
      </c>
      <c r="Z238" s="3"/>
      <c r="AA238" s="3"/>
      <c r="AB238" s="5"/>
      <c r="AC238" s="1"/>
      <c r="AD238" s="28"/>
      <c r="AE238" s="28"/>
      <c r="AF238" s="3"/>
      <c r="AG238" s="34"/>
      <c r="AH238" s="7"/>
      <c r="AI238" s="3" t="s">
        <v>59</v>
      </c>
      <c r="AJ238" s="7" t="s">
        <v>195</v>
      </c>
      <c r="AK238" s="3"/>
      <c r="AL238" cm="1">
        <f t="array" ref="AL238">IF(getColor(V238) = 16777215, 0, 1)</f>
        <v>0</v>
      </c>
    </row>
    <row r="239" spans="1:38">
      <c r="A239" s="1">
        <v>238</v>
      </c>
      <c r="B239" s="3" t="s">
        <v>27</v>
      </c>
      <c r="C239" s="7" t="s">
        <v>196</v>
      </c>
      <c r="D239" s="7" t="s">
        <v>197</v>
      </c>
      <c r="E239" s="8">
        <v>56.344411111111114</v>
      </c>
      <c r="F239" s="8">
        <v>-132.51937777777778</v>
      </c>
      <c r="G239" s="9" t="s">
        <v>30</v>
      </c>
      <c r="H239" s="3" t="s">
        <v>31</v>
      </c>
      <c r="I239" s="3" t="s">
        <v>31</v>
      </c>
      <c r="J239" s="3" t="s">
        <v>31</v>
      </c>
      <c r="K239" s="7" t="s">
        <v>198</v>
      </c>
      <c r="L239" s="9">
        <v>15</v>
      </c>
      <c r="M239" s="9">
        <v>8</v>
      </c>
      <c r="N239" s="9">
        <f t="shared" si="16"/>
        <v>7</v>
      </c>
      <c r="O239" s="29">
        <f>M244</f>
        <v>106</v>
      </c>
      <c r="P239" s="29">
        <f>L239</f>
        <v>15</v>
      </c>
      <c r="Q239" s="29">
        <f>P239+O239</f>
        <v>121</v>
      </c>
      <c r="R239" s="11">
        <v>0</v>
      </c>
      <c r="S239" s="1">
        <v>0.08</v>
      </c>
      <c r="T239" s="1">
        <f t="shared" si="17"/>
        <v>0.08</v>
      </c>
      <c r="U239" s="12"/>
      <c r="V239" s="31">
        <v>36.66627891666667</v>
      </c>
      <c r="W239" s="14">
        <f t="shared" si="18"/>
        <v>2053.311619333334</v>
      </c>
      <c r="X239" s="14">
        <f>SUM(W239:W244)</f>
        <v>71278.738670000006</v>
      </c>
      <c r="Y239" s="14">
        <f t="shared" si="19"/>
        <v>2053.311619333334</v>
      </c>
      <c r="Z239" s="15">
        <f>SUM(Y239:Y244)/10^6*10^4</f>
        <v>666.85973869999998</v>
      </c>
      <c r="AA239" s="16">
        <v>78.195334112972489</v>
      </c>
      <c r="AB239" s="5"/>
      <c r="AC239" s="1"/>
      <c r="AD239" s="28"/>
      <c r="AE239" s="28"/>
      <c r="AF239" s="3"/>
      <c r="AG239" s="7"/>
      <c r="AH239" s="7"/>
      <c r="AI239" s="3" t="s">
        <v>107</v>
      </c>
      <c r="AJ239" s="7" t="s">
        <v>199</v>
      </c>
      <c r="AK239" s="3"/>
      <c r="AL239" cm="1">
        <f t="array" ref="AL239">IF(getColor(V239) = 16777215, 0, 1)</f>
        <v>1</v>
      </c>
    </row>
    <row r="240" spans="1:38">
      <c r="A240" s="1">
        <v>239</v>
      </c>
      <c r="B240" s="3" t="s">
        <v>27</v>
      </c>
      <c r="C240" s="7" t="s">
        <v>196</v>
      </c>
      <c r="D240" s="7" t="s">
        <v>197</v>
      </c>
      <c r="E240" s="8">
        <v>56.344411111111114</v>
      </c>
      <c r="F240" s="8">
        <v>-132.51937777777778</v>
      </c>
      <c r="G240" s="9" t="s">
        <v>30</v>
      </c>
      <c r="H240" s="3" t="s">
        <v>31</v>
      </c>
      <c r="I240" s="3" t="s">
        <v>31</v>
      </c>
      <c r="J240" s="3" t="s">
        <v>31</v>
      </c>
      <c r="K240" s="7" t="s">
        <v>142</v>
      </c>
      <c r="L240" s="9">
        <v>8</v>
      </c>
      <c r="M240" s="9">
        <v>0</v>
      </c>
      <c r="N240" s="9">
        <f t="shared" si="16"/>
        <v>8</v>
      </c>
      <c r="O240" s="9"/>
      <c r="P240" s="9"/>
      <c r="Q240" s="25"/>
      <c r="R240" s="11">
        <v>0</v>
      </c>
      <c r="S240" s="1">
        <v>0.08</v>
      </c>
      <c r="T240" s="1">
        <f t="shared" si="17"/>
        <v>0.08</v>
      </c>
      <c r="U240" s="12"/>
      <c r="V240" s="31">
        <v>36.66627891666667</v>
      </c>
      <c r="W240" s="14">
        <f t="shared" si="18"/>
        <v>2346.6418506666669</v>
      </c>
      <c r="X240" s="18"/>
      <c r="Y240" s="14">
        <f t="shared" si="19"/>
        <v>2346.6418506666669</v>
      </c>
      <c r="Z240" s="3"/>
      <c r="AA240" s="3"/>
      <c r="AB240" s="5"/>
      <c r="AC240" s="5"/>
      <c r="AD240" s="28"/>
      <c r="AE240" s="28"/>
      <c r="AF240" s="3"/>
      <c r="AG240" s="7"/>
      <c r="AH240" s="7"/>
      <c r="AI240" s="3" t="s">
        <v>107</v>
      </c>
      <c r="AJ240" s="7" t="s">
        <v>143</v>
      </c>
      <c r="AK240" s="3"/>
      <c r="AL240" cm="1">
        <f t="array" ref="AL240">IF(getColor(V240) = 16777215, 0, 1)</f>
        <v>1</v>
      </c>
    </row>
    <row r="241" spans="1:38">
      <c r="A241" s="1">
        <v>240</v>
      </c>
      <c r="B241" s="3" t="s">
        <v>27</v>
      </c>
      <c r="C241" s="7" t="s">
        <v>196</v>
      </c>
      <c r="D241" s="7" t="s">
        <v>197</v>
      </c>
      <c r="E241" s="8">
        <v>56.344411111111114</v>
      </c>
      <c r="F241" s="8">
        <v>-132.51937777777778</v>
      </c>
      <c r="G241" s="9" t="s">
        <v>30</v>
      </c>
      <c r="H241" s="3" t="s">
        <v>31</v>
      </c>
      <c r="I241" s="3" t="s">
        <v>31</v>
      </c>
      <c r="J241" s="3" t="s">
        <v>31</v>
      </c>
      <c r="K241" s="7" t="s">
        <v>149</v>
      </c>
      <c r="L241" s="9">
        <v>0</v>
      </c>
      <c r="M241" s="9">
        <v>12</v>
      </c>
      <c r="N241" s="9">
        <f t="shared" si="16"/>
        <v>12</v>
      </c>
      <c r="O241" s="9"/>
      <c r="P241" s="9"/>
      <c r="Q241" s="25"/>
      <c r="R241" s="11">
        <v>0</v>
      </c>
      <c r="S241" s="1">
        <v>0.86</v>
      </c>
      <c r="T241" s="1">
        <f t="shared" si="17"/>
        <v>0.86</v>
      </c>
      <c r="U241" s="12">
        <v>5</v>
      </c>
      <c r="V241" s="13">
        <v>11.41</v>
      </c>
      <c r="W241" s="14">
        <f t="shared" si="18"/>
        <v>11186.363999999998</v>
      </c>
      <c r="X241" s="18"/>
      <c r="Y241" s="14">
        <f t="shared" si="19"/>
        <v>11186.363999999998</v>
      </c>
      <c r="Z241" s="3"/>
      <c r="AA241" s="3"/>
      <c r="AB241" s="5"/>
      <c r="AC241" s="1"/>
      <c r="AD241" s="28"/>
      <c r="AE241" s="28"/>
      <c r="AF241" s="3"/>
      <c r="AG241" s="7"/>
      <c r="AH241" s="7"/>
      <c r="AI241" s="3" t="s">
        <v>107</v>
      </c>
      <c r="AJ241" s="7" t="s">
        <v>150</v>
      </c>
      <c r="AK241" s="3"/>
      <c r="AL241" cm="1">
        <f t="array" ref="AL241">IF(getColor(V241) = 16777215, 0, 1)</f>
        <v>0</v>
      </c>
    </row>
    <row r="242" spans="1:38">
      <c r="A242" s="1">
        <v>241</v>
      </c>
      <c r="B242" s="3" t="s">
        <v>27</v>
      </c>
      <c r="C242" s="7" t="s">
        <v>196</v>
      </c>
      <c r="D242" s="7" t="s">
        <v>197</v>
      </c>
      <c r="E242" s="8">
        <v>56.344411111111114</v>
      </c>
      <c r="F242" s="8">
        <v>-132.51937777777778</v>
      </c>
      <c r="G242" s="9" t="s">
        <v>30</v>
      </c>
      <c r="H242" s="3" t="s">
        <v>31</v>
      </c>
      <c r="I242" s="3" t="s">
        <v>31</v>
      </c>
      <c r="J242" s="3" t="s">
        <v>31</v>
      </c>
      <c r="K242" s="7" t="s">
        <v>69</v>
      </c>
      <c r="L242" s="9">
        <v>12</v>
      </c>
      <c r="M242" s="9">
        <v>32</v>
      </c>
      <c r="N242" s="9">
        <f t="shared" si="16"/>
        <v>20</v>
      </c>
      <c r="O242" s="9"/>
      <c r="P242" s="9"/>
      <c r="Q242" s="25"/>
      <c r="R242" s="11">
        <v>0</v>
      </c>
      <c r="S242" s="1">
        <v>1.17</v>
      </c>
      <c r="T242" s="1">
        <f t="shared" si="17"/>
        <v>1.17</v>
      </c>
      <c r="U242" s="12">
        <v>9</v>
      </c>
      <c r="V242" s="13">
        <v>4.47</v>
      </c>
      <c r="W242" s="14">
        <f t="shared" si="18"/>
        <v>9518.4179999999997</v>
      </c>
      <c r="X242" s="18"/>
      <c r="Y242" s="14">
        <f t="shared" si="19"/>
        <v>9518.4179999999997</v>
      </c>
      <c r="Z242" s="3"/>
      <c r="AA242" s="3"/>
      <c r="AB242" s="5"/>
      <c r="AC242" s="1"/>
      <c r="AD242" s="28"/>
      <c r="AE242" s="28"/>
      <c r="AF242" s="3"/>
      <c r="AG242" s="7"/>
      <c r="AH242" s="7"/>
      <c r="AI242" s="3" t="s">
        <v>107</v>
      </c>
      <c r="AJ242" s="7" t="s">
        <v>70</v>
      </c>
      <c r="AK242" s="3"/>
      <c r="AL242" cm="1">
        <f t="array" ref="AL242">IF(getColor(V242) = 16777215, 0, 1)</f>
        <v>0</v>
      </c>
    </row>
    <row r="243" spans="1:38">
      <c r="A243" s="1">
        <v>242</v>
      </c>
      <c r="B243" s="3" t="s">
        <v>27</v>
      </c>
      <c r="C243" s="7" t="s">
        <v>196</v>
      </c>
      <c r="D243" s="7" t="s">
        <v>197</v>
      </c>
      <c r="E243" s="8">
        <v>56.344411111111114</v>
      </c>
      <c r="F243" s="8">
        <v>-132.51937777777778</v>
      </c>
      <c r="G243" s="9" t="s">
        <v>30</v>
      </c>
      <c r="H243" s="3" t="s">
        <v>31</v>
      </c>
      <c r="I243" s="3" t="s">
        <v>31</v>
      </c>
      <c r="J243" s="3" t="s">
        <v>31</v>
      </c>
      <c r="K243" s="7" t="s">
        <v>71</v>
      </c>
      <c r="L243" s="9">
        <v>32</v>
      </c>
      <c r="M243" s="9">
        <v>60</v>
      </c>
      <c r="N243" s="9">
        <f t="shared" si="16"/>
        <v>28</v>
      </c>
      <c r="O243" s="9"/>
      <c r="P243" s="9"/>
      <c r="Q243" s="25"/>
      <c r="R243" s="11">
        <v>0</v>
      </c>
      <c r="S243" s="1">
        <v>1.17</v>
      </c>
      <c r="T243" s="1">
        <f t="shared" si="17"/>
        <v>1.17</v>
      </c>
      <c r="U243" s="12">
        <v>6</v>
      </c>
      <c r="V243" s="13">
        <v>3.56</v>
      </c>
      <c r="W243" s="14">
        <f t="shared" si="18"/>
        <v>10962.806399999998</v>
      </c>
      <c r="X243" s="18"/>
      <c r="Y243" s="14">
        <f t="shared" si="19"/>
        <v>10962.806399999998</v>
      </c>
      <c r="Z243" s="3"/>
      <c r="AA243" s="3"/>
      <c r="AB243" s="5"/>
      <c r="AC243" s="1"/>
      <c r="AD243" s="28"/>
      <c r="AE243" s="28"/>
      <c r="AF243" s="3"/>
      <c r="AG243" s="7"/>
      <c r="AH243" s="7"/>
      <c r="AI243" s="3" t="s">
        <v>107</v>
      </c>
      <c r="AJ243" s="7" t="s">
        <v>72</v>
      </c>
      <c r="AK243" s="3"/>
      <c r="AL243" cm="1">
        <f t="array" ref="AL243">IF(getColor(V243) = 16777215, 0, 1)</f>
        <v>0</v>
      </c>
    </row>
    <row r="244" spans="1:38">
      <c r="A244" s="1">
        <v>243</v>
      </c>
      <c r="B244" s="3" t="s">
        <v>27</v>
      </c>
      <c r="C244" s="7" t="s">
        <v>196</v>
      </c>
      <c r="D244" s="7" t="s">
        <v>197</v>
      </c>
      <c r="E244" s="8">
        <v>56.344411111111114</v>
      </c>
      <c r="F244" s="8">
        <v>-132.51937777777778</v>
      </c>
      <c r="G244" s="9" t="s">
        <v>30</v>
      </c>
      <c r="H244" s="3" t="s">
        <v>31</v>
      </c>
      <c r="I244" s="3" t="s">
        <v>31</v>
      </c>
      <c r="J244" s="3" t="s">
        <v>31</v>
      </c>
      <c r="K244" s="7" t="s">
        <v>44</v>
      </c>
      <c r="L244" s="9">
        <v>60</v>
      </c>
      <c r="M244" s="9">
        <v>106</v>
      </c>
      <c r="N244" s="9">
        <f t="shared" si="16"/>
        <v>46</v>
      </c>
      <c r="O244" s="9"/>
      <c r="P244" s="9"/>
      <c r="Q244" s="25"/>
      <c r="R244" s="11">
        <v>0</v>
      </c>
      <c r="S244" s="1">
        <v>1.74</v>
      </c>
      <c r="T244" s="1">
        <f t="shared" si="17"/>
        <v>1.74</v>
      </c>
      <c r="U244" s="12">
        <v>6</v>
      </c>
      <c r="V244" s="13">
        <v>4.68</v>
      </c>
      <c r="W244" s="14">
        <f t="shared" si="18"/>
        <v>35211.196800000005</v>
      </c>
      <c r="X244" s="18"/>
      <c r="Y244" s="14">
        <f>IF(L244&gt;-100,W244-W244*(ABS(M244)-100)/(ABS(M244)-ABS(L244)),0)</f>
        <v>30618.432000000004</v>
      </c>
      <c r="Z244" s="3"/>
      <c r="AA244" s="3"/>
      <c r="AB244" s="5"/>
      <c r="AC244" s="1"/>
      <c r="AD244" s="28"/>
      <c r="AE244" s="28"/>
      <c r="AF244" s="3"/>
      <c r="AG244" s="7"/>
      <c r="AH244" s="7"/>
      <c r="AI244" s="3" t="s">
        <v>107</v>
      </c>
      <c r="AJ244" s="7" t="s">
        <v>44</v>
      </c>
      <c r="AK244" s="3"/>
      <c r="AL244" cm="1">
        <f t="array" ref="AL244">IF(getColor(V244) = 16777215, 0, 1)</f>
        <v>0</v>
      </c>
    </row>
    <row r="245" spans="1:38">
      <c r="A245" s="1">
        <v>244</v>
      </c>
      <c r="B245" s="3" t="s">
        <v>27</v>
      </c>
      <c r="C245" s="7" t="s">
        <v>200</v>
      </c>
      <c r="D245" s="7" t="s">
        <v>201</v>
      </c>
      <c r="E245" s="8">
        <v>56.333300000000001</v>
      </c>
      <c r="F245" s="8">
        <v>-133.35</v>
      </c>
      <c r="G245" s="9" t="s">
        <v>30</v>
      </c>
      <c r="H245" s="3" t="s">
        <v>31</v>
      </c>
      <c r="I245" s="3" t="s">
        <v>31</v>
      </c>
      <c r="J245" s="3" t="s">
        <v>31</v>
      </c>
      <c r="K245" s="7" t="s">
        <v>52</v>
      </c>
      <c r="L245" s="9">
        <v>5</v>
      </c>
      <c r="M245" s="9">
        <v>0</v>
      </c>
      <c r="N245" s="9">
        <f t="shared" si="16"/>
        <v>5</v>
      </c>
      <c r="O245" s="29">
        <f>M248</f>
        <v>48</v>
      </c>
      <c r="P245" s="29">
        <f>L245</f>
        <v>5</v>
      </c>
      <c r="Q245" s="29">
        <f>P245+O245</f>
        <v>53</v>
      </c>
      <c r="R245" s="11">
        <v>0</v>
      </c>
      <c r="S245" s="1">
        <v>0.15</v>
      </c>
      <c r="T245" s="1">
        <f t="shared" si="17"/>
        <v>0.15</v>
      </c>
      <c r="U245" s="12">
        <v>0</v>
      </c>
      <c r="V245" s="13">
        <v>36.880000000000003</v>
      </c>
      <c r="W245" s="14">
        <f t="shared" si="18"/>
        <v>2766</v>
      </c>
      <c r="X245" s="14">
        <f>SUM(W245:W248)</f>
        <v>27231.564599999998</v>
      </c>
      <c r="Y245" s="14">
        <f t="shared" ref="Y245:Y253" si="20">T245*V245/100*N245*100*100*((100-U245)/100)</f>
        <v>2766</v>
      </c>
      <c r="Z245" s="15">
        <f>SUM(Y245:Y248)/10^6*10^4</f>
        <v>272.31564599999996</v>
      </c>
      <c r="AA245" s="16">
        <v>29.848124081825631</v>
      </c>
      <c r="AB245" s="5"/>
      <c r="AC245" s="1"/>
      <c r="AD245" s="28"/>
      <c r="AE245" s="28"/>
      <c r="AF245" s="3"/>
      <c r="AG245" s="7"/>
      <c r="AH245" s="7"/>
      <c r="AI245" s="3" t="s">
        <v>107</v>
      </c>
      <c r="AJ245" s="7" t="s">
        <v>76</v>
      </c>
      <c r="AK245" s="3"/>
      <c r="AL245" cm="1">
        <f t="array" ref="AL245">IF(getColor(V245) = 16777215, 0, 1)</f>
        <v>0</v>
      </c>
    </row>
    <row r="246" spans="1:38">
      <c r="A246" s="1">
        <v>245</v>
      </c>
      <c r="B246" s="3" t="s">
        <v>27</v>
      </c>
      <c r="C246" s="7" t="s">
        <v>200</v>
      </c>
      <c r="D246" s="7" t="s">
        <v>201</v>
      </c>
      <c r="E246" s="8">
        <v>56.333300000000001</v>
      </c>
      <c r="F246" s="8">
        <v>-133.35</v>
      </c>
      <c r="G246" s="9" t="s">
        <v>30</v>
      </c>
      <c r="H246" s="3" t="s">
        <v>31</v>
      </c>
      <c r="I246" s="3" t="s">
        <v>31</v>
      </c>
      <c r="J246" s="3" t="s">
        <v>31</v>
      </c>
      <c r="K246" s="7" t="s">
        <v>77</v>
      </c>
      <c r="L246" s="9">
        <v>0</v>
      </c>
      <c r="M246" s="9">
        <v>5</v>
      </c>
      <c r="N246" s="9">
        <f t="shared" si="16"/>
        <v>5</v>
      </c>
      <c r="O246" s="9"/>
      <c r="P246" s="9"/>
      <c r="Q246" s="25"/>
      <c r="R246" s="11">
        <v>0</v>
      </c>
      <c r="S246" s="1">
        <v>0.86</v>
      </c>
      <c r="T246" s="1">
        <f t="shared" si="17"/>
        <v>0.86</v>
      </c>
      <c r="U246" s="12">
        <v>2</v>
      </c>
      <c r="V246" s="13">
        <v>6.87</v>
      </c>
      <c r="W246" s="14">
        <f t="shared" si="18"/>
        <v>2895.0179999999996</v>
      </c>
      <c r="X246" s="18"/>
      <c r="Y246" s="14">
        <f t="shared" si="20"/>
        <v>2895.0179999999996</v>
      </c>
      <c r="Z246" s="3"/>
      <c r="AA246" s="3"/>
      <c r="AB246" s="5"/>
      <c r="AC246" s="5"/>
      <c r="AD246" s="28"/>
      <c r="AE246" s="28"/>
      <c r="AF246" s="3"/>
      <c r="AG246" s="7"/>
      <c r="AH246" s="7"/>
      <c r="AI246" s="3" t="s">
        <v>107</v>
      </c>
      <c r="AJ246" s="7" t="s">
        <v>78</v>
      </c>
      <c r="AK246" s="3"/>
      <c r="AL246" cm="1">
        <f t="array" ref="AL246">IF(getColor(V246) = 16777215, 0, 1)</f>
        <v>0</v>
      </c>
    </row>
    <row r="247" spans="1:38">
      <c r="A247" s="1">
        <v>246</v>
      </c>
      <c r="B247" s="3" t="s">
        <v>27</v>
      </c>
      <c r="C247" s="7" t="s">
        <v>200</v>
      </c>
      <c r="D247" s="7" t="s">
        <v>201</v>
      </c>
      <c r="E247" s="8">
        <v>56.333300000000001</v>
      </c>
      <c r="F247" s="8">
        <v>-133.35</v>
      </c>
      <c r="G247" s="9" t="s">
        <v>30</v>
      </c>
      <c r="H247" s="3" t="s">
        <v>31</v>
      </c>
      <c r="I247" s="3" t="s">
        <v>31</v>
      </c>
      <c r="J247" s="3" t="s">
        <v>31</v>
      </c>
      <c r="K247" s="7" t="s">
        <v>41</v>
      </c>
      <c r="L247" s="9">
        <v>5</v>
      </c>
      <c r="M247" s="9">
        <v>19</v>
      </c>
      <c r="N247" s="9">
        <f t="shared" si="16"/>
        <v>14</v>
      </c>
      <c r="O247" s="9"/>
      <c r="P247" s="9"/>
      <c r="Q247" s="25"/>
      <c r="R247" s="11">
        <v>0</v>
      </c>
      <c r="S247" s="1">
        <v>1.17</v>
      </c>
      <c r="T247" s="1">
        <f t="shared" si="17"/>
        <v>1.17</v>
      </c>
      <c r="U247" s="12">
        <v>8</v>
      </c>
      <c r="V247" s="13">
        <v>2.2599999999999998</v>
      </c>
      <c r="W247" s="14">
        <f t="shared" si="18"/>
        <v>3405.7296000000001</v>
      </c>
      <c r="X247" s="18"/>
      <c r="Y247" s="14">
        <f t="shared" si="20"/>
        <v>3405.7296000000001</v>
      </c>
      <c r="Z247" s="3"/>
      <c r="AA247" s="3"/>
      <c r="AB247" s="5"/>
      <c r="AC247" s="1"/>
      <c r="AD247" s="28"/>
      <c r="AE247" s="28"/>
      <c r="AF247" s="3"/>
      <c r="AG247" s="7"/>
      <c r="AH247" s="7"/>
      <c r="AI247" s="3" t="s">
        <v>107</v>
      </c>
      <c r="AJ247" s="7" t="s">
        <v>61</v>
      </c>
      <c r="AK247" s="3"/>
      <c r="AL247" cm="1">
        <f t="array" ref="AL247">IF(getColor(V247) = 16777215, 0, 1)</f>
        <v>0</v>
      </c>
    </row>
    <row r="248" spans="1:38">
      <c r="A248" s="1">
        <v>247</v>
      </c>
      <c r="B248" s="3" t="s">
        <v>27</v>
      </c>
      <c r="C248" s="7" t="s">
        <v>200</v>
      </c>
      <c r="D248" s="7" t="s">
        <v>201</v>
      </c>
      <c r="E248" s="8">
        <v>56.333300000000001</v>
      </c>
      <c r="F248" s="8">
        <v>-133.35</v>
      </c>
      <c r="G248" s="9" t="s">
        <v>30</v>
      </c>
      <c r="H248" s="3" t="s">
        <v>31</v>
      </c>
      <c r="I248" s="3" t="s">
        <v>31</v>
      </c>
      <c r="J248" s="3" t="s">
        <v>31</v>
      </c>
      <c r="K248" s="7" t="s">
        <v>79</v>
      </c>
      <c r="L248" s="9">
        <v>19</v>
      </c>
      <c r="M248" s="9">
        <v>48</v>
      </c>
      <c r="N248" s="9">
        <f t="shared" si="16"/>
        <v>29</v>
      </c>
      <c r="O248" s="9"/>
      <c r="P248" s="9"/>
      <c r="Q248" s="25"/>
      <c r="R248" s="11">
        <v>0</v>
      </c>
      <c r="S248" s="1">
        <v>1.71</v>
      </c>
      <c r="T248" s="1">
        <f t="shared" si="17"/>
        <v>1.71</v>
      </c>
      <c r="U248" s="12">
        <v>1</v>
      </c>
      <c r="V248" s="13">
        <v>3.7</v>
      </c>
      <c r="W248" s="14">
        <f t="shared" si="18"/>
        <v>18164.816999999999</v>
      </c>
      <c r="X248" s="18"/>
      <c r="Y248" s="14">
        <f t="shared" si="20"/>
        <v>18164.816999999999</v>
      </c>
      <c r="Z248" s="3"/>
      <c r="AA248" s="3"/>
      <c r="AB248" s="5"/>
      <c r="AC248" s="1"/>
      <c r="AD248" s="28"/>
      <c r="AE248" s="28"/>
      <c r="AF248" s="3"/>
      <c r="AG248" s="7"/>
      <c r="AH248" s="7"/>
      <c r="AI248" s="3" t="s">
        <v>107</v>
      </c>
      <c r="AJ248" s="7" t="s">
        <v>79</v>
      </c>
      <c r="AK248" s="3"/>
      <c r="AL248" cm="1">
        <f t="array" ref="AL248">IF(getColor(V248) = 16777215, 0, 1)</f>
        <v>0</v>
      </c>
    </row>
    <row r="249" spans="1:38">
      <c r="A249" s="1">
        <v>248</v>
      </c>
      <c r="B249" s="3" t="s">
        <v>27</v>
      </c>
      <c r="C249" s="7" t="s">
        <v>202</v>
      </c>
      <c r="D249" s="7" t="s">
        <v>203</v>
      </c>
      <c r="E249" s="8">
        <v>56.426322222222225</v>
      </c>
      <c r="F249" s="8">
        <v>-132.9333</v>
      </c>
      <c r="G249" s="9" t="s">
        <v>30</v>
      </c>
      <c r="H249" s="3" t="s">
        <v>31</v>
      </c>
      <c r="I249" s="3" t="s">
        <v>31</v>
      </c>
      <c r="J249" s="3" t="s">
        <v>31</v>
      </c>
      <c r="K249" s="7" t="s">
        <v>53</v>
      </c>
      <c r="L249" s="9">
        <v>10</v>
      </c>
      <c r="M249" s="9">
        <v>0</v>
      </c>
      <c r="N249" s="9">
        <f t="shared" si="16"/>
        <v>10</v>
      </c>
      <c r="O249" s="29">
        <f>M254</f>
        <v>152</v>
      </c>
      <c r="P249" s="29">
        <f>L249</f>
        <v>10</v>
      </c>
      <c r="Q249" s="29">
        <f>P249+O249</f>
        <v>162</v>
      </c>
      <c r="R249" s="11">
        <v>0</v>
      </c>
      <c r="S249" s="1">
        <v>0.11</v>
      </c>
      <c r="T249" s="1">
        <f t="shared" si="17"/>
        <v>0.11</v>
      </c>
      <c r="U249" s="12">
        <v>0</v>
      </c>
      <c r="V249" s="13">
        <v>28.192599999999999</v>
      </c>
      <c r="W249" s="14">
        <f t="shared" si="18"/>
        <v>3101.1859999999997</v>
      </c>
      <c r="X249" s="14">
        <f>SUM(W249:W254)</f>
        <v>40131.982655</v>
      </c>
      <c r="Y249" s="14">
        <f t="shared" si="20"/>
        <v>3101.1859999999997</v>
      </c>
      <c r="Z249" s="15">
        <f>SUM(Y249:Y254)/10^6*10^4</f>
        <v>362.41911321800006</v>
      </c>
      <c r="AA249" s="16">
        <v>49.097794343646228</v>
      </c>
      <c r="AB249" s="5"/>
      <c r="AC249" s="1"/>
      <c r="AD249" s="28"/>
      <c r="AE249" s="28"/>
      <c r="AF249" s="3"/>
      <c r="AG249" s="7"/>
      <c r="AH249" s="7"/>
      <c r="AI249" s="3" t="s">
        <v>107</v>
      </c>
      <c r="AJ249" s="7" t="s">
        <v>53</v>
      </c>
      <c r="AK249" s="3"/>
      <c r="AL249" cm="1">
        <f t="array" ref="AL249">IF(getColor(V249) = 16777215, 0, 1)</f>
        <v>0</v>
      </c>
    </row>
    <row r="250" spans="1:38">
      <c r="A250" s="1">
        <v>249</v>
      </c>
      <c r="B250" s="3" t="s">
        <v>27</v>
      </c>
      <c r="C250" s="7" t="s">
        <v>202</v>
      </c>
      <c r="D250" s="7" t="s">
        <v>203</v>
      </c>
      <c r="E250" s="8">
        <v>56.426322222222225</v>
      </c>
      <c r="F250" s="8">
        <v>-132.9333</v>
      </c>
      <c r="G250" s="9" t="s">
        <v>30</v>
      </c>
      <c r="H250" s="3" t="s">
        <v>31</v>
      </c>
      <c r="I250" s="3" t="s">
        <v>31</v>
      </c>
      <c r="J250" s="3" t="s">
        <v>31</v>
      </c>
      <c r="K250" s="7" t="s">
        <v>87</v>
      </c>
      <c r="L250" s="9">
        <v>0</v>
      </c>
      <c r="M250" s="9">
        <v>3</v>
      </c>
      <c r="N250" s="9">
        <f t="shared" si="16"/>
        <v>3</v>
      </c>
      <c r="O250" s="9"/>
      <c r="P250" s="9"/>
      <c r="Q250" s="25"/>
      <c r="R250" s="11">
        <v>0</v>
      </c>
      <c r="S250" s="1">
        <v>0.93</v>
      </c>
      <c r="T250" s="1">
        <f t="shared" si="17"/>
        <v>0.93</v>
      </c>
      <c r="U250" s="12">
        <v>0</v>
      </c>
      <c r="V250" s="13">
        <v>6.6040200000000002</v>
      </c>
      <c r="W250" s="14">
        <f t="shared" si="18"/>
        <v>1842.5215800000003</v>
      </c>
      <c r="X250" s="25"/>
      <c r="Y250" s="14">
        <f t="shared" si="20"/>
        <v>1842.5215800000003</v>
      </c>
      <c r="Z250" s="3"/>
      <c r="AA250" s="3"/>
      <c r="AB250" s="5"/>
      <c r="AC250" s="5"/>
      <c r="AD250" s="28"/>
      <c r="AE250" s="28"/>
      <c r="AF250" s="3"/>
      <c r="AG250" s="7"/>
      <c r="AH250" s="7"/>
      <c r="AI250" s="3" t="s">
        <v>107</v>
      </c>
      <c r="AJ250" s="7" t="s">
        <v>87</v>
      </c>
      <c r="AK250" s="3"/>
      <c r="AL250" cm="1">
        <f t="array" ref="AL250">IF(getColor(V250) = 16777215, 0, 1)</f>
        <v>0</v>
      </c>
    </row>
    <row r="251" spans="1:38">
      <c r="A251" s="1">
        <v>250</v>
      </c>
      <c r="B251" s="3" t="s">
        <v>27</v>
      </c>
      <c r="C251" s="7" t="s">
        <v>202</v>
      </c>
      <c r="D251" s="7" t="s">
        <v>203</v>
      </c>
      <c r="E251" s="8">
        <v>56.426322222222225</v>
      </c>
      <c r="F251" s="8">
        <v>-132.9333</v>
      </c>
      <c r="G251" s="9" t="s">
        <v>30</v>
      </c>
      <c r="H251" s="3" t="s">
        <v>31</v>
      </c>
      <c r="I251" s="3" t="s">
        <v>31</v>
      </c>
      <c r="J251" s="3" t="s">
        <v>31</v>
      </c>
      <c r="K251" s="7" t="s">
        <v>101</v>
      </c>
      <c r="L251" s="9">
        <v>3</v>
      </c>
      <c r="M251" s="9">
        <v>10</v>
      </c>
      <c r="N251" s="9">
        <f t="shared" si="16"/>
        <v>7</v>
      </c>
      <c r="O251" s="9"/>
      <c r="P251" s="9"/>
      <c r="Q251" s="25"/>
      <c r="R251" s="11">
        <v>0</v>
      </c>
      <c r="S251" s="1">
        <v>0.86</v>
      </c>
      <c r="T251" s="1">
        <f t="shared" si="17"/>
        <v>0.86</v>
      </c>
      <c r="U251" s="12">
        <v>1</v>
      </c>
      <c r="V251" s="13">
        <v>13.729410000000001</v>
      </c>
      <c r="W251" s="14">
        <f t="shared" si="18"/>
        <v>8182.4537718000001</v>
      </c>
      <c r="X251" s="25"/>
      <c r="Y251" s="14">
        <f t="shared" si="20"/>
        <v>8182.4537718000001</v>
      </c>
      <c r="Z251" s="3"/>
      <c r="AA251" s="3"/>
      <c r="AB251" s="5"/>
      <c r="AC251" s="1"/>
      <c r="AD251" s="28"/>
      <c r="AE251" s="28"/>
      <c r="AF251" s="3"/>
      <c r="AG251" s="7"/>
      <c r="AH251" s="7"/>
      <c r="AI251" s="3" t="s">
        <v>107</v>
      </c>
      <c r="AJ251" s="7" t="s">
        <v>102</v>
      </c>
      <c r="AK251" s="3"/>
      <c r="AL251" cm="1">
        <f t="array" ref="AL251">IF(getColor(V251) = 16777215, 0, 1)</f>
        <v>0</v>
      </c>
    </row>
    <row r="252" spans="1:38">
      <c r="A252" s="1">
        <v>251</v>
      </c>
      <c r="B252" s="3" t="s">
        <v>27</v>
      </c>
      <c r="C252" s="7" t="s">
        <v>202</v>
      </c>
      <c r="D252" s="7" t="s">
        <v>203</v>
      </c>
      <c r="E252" s="8">
        <v>56.426322222222225</v>
      </c>
      <c r="F252" s="8">
        <v>-132.9333</v>
      </c>
      <c r="G252" s="9" t="s">
        <v>30</v>
      </c>
      <c r="H252" s="3" t="s">
        <v>31</v>
      </c>
      <c r="I252" s="3" t="s">
        <v>31</v>
      </c>
      <c r="J252" s="3" t="s">
        <v>31</v>
      </c>
      <c r="K252" s="7" t="s">
        <v>103</v>
      </c>
      <c r="L252" s="9">
        <v>10</v>
      </c>
      <c r="M252" s="9">
        <v>25</v>
      </c>
      <c r="N252" s="9">
        <f t="shared" si="16"/>
        <v>15</v>
      </c>
      <c r="O252" s="9"/>
      <c r="P252" s="9"/>
      <c r="Q252" s="25"/>
      <c r="R252" s="11">
        <v>0</v>
      </c>
      <c r="S252" s="1">
        <v>0.86</v>
      </c>
      <c r="T252" s="1">
        <f t="shared" si="17"/>
        <v>0.86</v>
      </c>
      <c r="U252" s="12">
        <v>1</v>
      </c>
      <c r="V252" s="13">
        <v>9.2108699999999999</v>
      </c>
      <c r="W252" s="14">
        <f t="shared" si="18"/>
        <v>11763.202077</v>
      </c>
      <c r="X252" s="25"/>
      <c r="Y252" s="14">
        <f t="shared" si="20"/>
        <v>11763.202077</v>
      </c>
      <c r="Z252" s="3"/>
      <c r="AA252" s="3"/>
      <c r="AB252" s="5"/>
      <c r="AC252" s="1"/>
      <c r="AD252" s="28"/>
      <c r="AE252" s="28"/>
      <c r="AF252" s="3"/>
      <c r="AG252" s="7"/>
      <c r="AH252" s="7"/>
      <c r="AI252" s="3" t="s">
        <v>107</v>
      </c>
      <c r="AJ252" s="7" t="s">
        <v>104</v>
      </c>
      <c r="AK252" s="3"/>
      <c r="AL252" cm="1">
        <f t="array" ref="AL252">IF(getColor(V252) = 16777215, 0, 1)</f>
        <v>0</v>
      </c>
    </row>
    <row r="253" spans="1:38">
      <c r="A253" s="1">
        <v>252</v>
      </c>
      <c r="B253" s="3" t="s">
        <v>27</v>
      </c>
      <c r="C253" s="7" t="s">
        <v>202</v>
      </c>
      <c r="D253" s="7" t="s">
        <v>203</v>
      </c>
      <c r="E253" s="8">
        <v>56.426322222222225</v>
      </c>
      <c r="F253" s="8">
        <v>-132.9333</v>
      </c>
      <c r="G253" s="9" t="s">
        <v>30</v>
      </c>
      <c r="H253" s="3" t="s">
        <v>31</v>
      </c>
      <c r="I253" s="3" t="s">
        <v>31</v>
      </c>
      <c r="J253" s="3" t="s">
        <v>31</v>
      </c>
      <c r="K253" s="7" t="s">
        <v>175</v>
      </c>
      <c r="L253" s="9">
        <v>25</v>
      </c>
      <c r="M253" s="9">
        <v>48</v>
      </c>
      <c r="N253" s="9">
        <f t="shared" si="16"/>
        <v>23</v>
      </c>
      <c r="O253" s="9"/>
      <c r="P253" s="9"/>
      <c r="Q253" s="25"/>
      <c r="R253" s="11">
        <v>0</v>
      </c>
      <c r="S253" s="1">
        <v>1.71</v>
      </c>
      <c r="T253" s="1">
        <f t="shared" si="17"/>
        <v>1.71</v>
      </c>
      <c r="U253" s="12">
        <v>32</v>
      </c>
      <c r="V253" s="13">
        <v>2.7902950000000004</v>
      </c>
      <c r="W253" s="14">
        <f t="shared" si="18"/>
        <v>7462.4765598000013</v>
      </c>
      <c r="X253" s="25"/>
      <c r="Y253" s="14">
        <f t="shared" si="20"/>
        <v>7462.4765598000013</v>
      </c>
      <c r="Z253" s="3"/>
      <c r="AA253" s="3"/>
      <c r="AB253" s="5"/>
      <c r="AC253" s="1"/>
      <c r="AD253" s="28"/>
      <c r="AE253" s="28"/>
      <c r="AF253" s="3"/>
      <c r="AG253" s="7"/>
      <c r="AH253" s="7"/>
      <c r="AI253" s="3" t="s">
        <v>107</v>
      </c>
      <c r="AJ253" s="7" t="s">
        <v>175</v>
      </c>
      <c r="AK253" s="3"/>
      <c r="AL253" cm="1">
        <f t="array" ref="AL253">IF(getColor(V253) = 16777215, 0, 1)</f>
        <v>0</v>
      </c>
    </row>
    <row r="254" spans="1:38">
      <c r="A254" s="1">
        <v>253</v>
      </c>
      <c r="B254" s="3" t="s">
        <v>27</v>
      </c>
      <c r="C254" s="7" t="s">
        <v>202</v>
      </c>
      <c r="D254" s="7" t="s">
        <v>203</v>
      </c>
      <c r="E254" s="8">
        <v>56.426322222222225</v>
      </c>
      <c r="F254" s="8">
        <v>-132.9333</v>
      </c>
      <c r="G254" s="9" t="s">
        <v>30</v>
      </c>
      <c r="H254" s="3" t="s">
        <v>31</v>
      </c>
      <c r="I254" s="3" t="s">
        <v>31</v>
      </c>
      <c r="J254" s="3" t="s">
        <v>31</v>
      </c>
      <c r="K254" s="7" t="s">
        <v>44</v>
      </c>
      <c r="L254" s="9">
        <v>48</v>
      </c>
      <c r="M254" s="9">
        <v>152</v>
      </c>
      <c r="N254" s="9">
        <f t="shared" si="16"/>
        <v>104</v>
      </c>
      <c r="O254" s="9"/>
      <c r="P254" s="9"/>
      <c r="Q254" s="25"/>
      <c r="R254" s="11">
        <v>0</v>
      </c>
      <c r="S254" s="1">
        <v>1.74</v>
      </c>
      <c r="T254" s="1">
        <f t="shared" si="17"/>
        <v>1.74</v>
      </c>
      <c r="U254" s="12">
        <v>27</v>
      </c>
      <c r="V254" s="13">
        <v>0.58895500000000001</v>
      </c>
      <c r="W254" s="14">
        <f t="shared" si="18"/>
        <v>7780.1426663999991</v>
      </c>
      <c r="X254" s="25"/>
      <c r="Y254" s="14">
        <f>IF(L254&gt;-100,W254-W254*(ABS(M254)-100)/(ABS(M254)-ABS(L254)),0)</f>
        <v>3890.0713331999996</v>
      </c>
      <c r="Z254" s="3"/>
      <c r="AA254" s="3"/>
      <c r="AB254" s="5"/>
      <c r="AC254" s="1"/>
      <c r="AD254" s="28"/>
      <c r="AE254" s="28"/>
      <c r="AF254" s="3"/>
      <c r="AG254" s="7"/>
      <c r="AH254" s="7"/>
      <c r="AI254" s="3" t="s">
        <v>107</v>
      </c>
      <c r="AJ254" s="7" t="s">
        <v>44</v>
      </c>
      <c r="AK254" s="3"/>
      <c r="AL254" cm="1">
        <f t="array" ref="AL254">IF(getColor(V254) = 16777215, 0, 1)</f>
        <v>0</v>
      </c>
    </row>
    <row r="255" spans="1:38">
      <c r="A255" s="1">
        <v>254</v>
      </c>
      <c r="B255" s="3" t="s">
        <v>27</v>
      </c>
      <c r="C255" s="7" t="s">
        <v>204</v>
      </c>
      <c r="D255" s="7" t="s">
        <v>203</v>
      </c>
      <c r="E255" s="8">
        <v>56.438855555555556</v>
      </c>
      <c r="F255" s="8">
        <v>-133.62076666666667</v>
      </c>
      <c r="G255" s="9" t="s">
        <v>30</v>
      </c>
      <c r="H255" s="3" t="s">
        <v>31</v>
      </c>
      <c r="I255" s="3" t="s">
        <v>31</v>
      </c>
      <c r="J255" s="3" t="s">
        <v>31</v>
      </c>
      <c r="K255" s="7" t="s">
        <v>52</v>
      </c>
      <c r="L255" s="9">
        <v>3</v>
      </c>
      <c r="M255" s="9">
        <v>0</v>
      </c>
      <c r="N255" s="9">
        <f t="shared" si="16"/>
        <v>3</v>
      </c>
      <c r="O255" s="29">
        <f>M260</f>
        <v>107</v>
      </c>
      <c r="P255" s="29">
        <f>L255</f>
        <v>3</v>
      </c>
      <c r="Q255" s="29">
        <f>P255+O255</f>
        <v>110</v>
      </c>
      <c r="R255" s="11">
        <v>0</v>
      </c>
      <c r="S255" s="1">
        <v>0.15</v>
      </c>
      <c r="T255" s="1">
        <f t="shared" si="17"/>
        <v>0.15</v>
      </c>
      <c r="U255" s="12"/>
      <c r="V255" s="31">
        <v>36.068238615384637</v>
      </c>
      <c r="W255" s="14">
        <f t="shared" si="18"/>
        <v>1623.0707376923085</v>
      </c>
      <c r="X255" s="14">
        <f>SUM(W255:W260)</f>
        <v>62060.96992539231</v>
      </c>
      <c r="Y255" s="14">
        <f>T255*V255/100*N255*100*100*((100-U255)/100)</f>
        <v>1623.0707376923085</v>
      </c>
      <c r="Z255" s="15">
        <f>SUM(Y255:Y260)/10^6*10^4</f>
        <v>583.31705320592312</v>
      </c>
      <c r="AA255" s="16">
        <v>61.511254519521842</v>
      </c>
      <c r="AB255" s="5"/>
      <c r="AC255" s="1"/>
      <c r="AD255" s="28"/>
      <c r="AE255" s="28"/>
      <c r="AF255" s="3"/>
      <c r="AG255" s="7"/>
      <c r="AH255" s="7"/>
      <c r="AI255" s="3" t="s">
        <v>107</v>
      </c>
      <c r="AJ255" s="7" t="s">
        <v>76</v>
      </c>
      <c r="AK255" s="3"/>
      <c r="AL255" cm="1">
        <f t="array" ref="AL255">IF(getColor(V255) = 16777215, 0, 1)</f>
        <v>1</v>
      </c>
    </row>
    <row r="256" spans="1:38">
      <c r="A256" s="1">
        <v>255</v>
      </c>
      <c r="B256" s="3" t="s">
        <v>27</v>
      </c>
      <c r="C256" s="7" t="s">
        <v>204</v>
      </c>
      <c r="D256" s="7" t="s">
        <v>203</v>
      </c>
      <c r="E256" s="8">
        <v>56.438855555555556</v>
      </c>
      <c r="F256" s="8">
        <v>-133.62076666666667</v>
      </c>
      <c r="G256" s="9" t="s">
        <v>30</v>
      </c>
      <c r="H256" s="3" t="s">
        <v>31</v>
      </c>
      <c r="I256" s="3" t="s">
        <v>31</v>
      </c>
      <c r="J256" s="3" t="s">
        <v>31</v>
      </c>
      <c r="K256" s="7" t="s">
        <v>51</v>
      </c>
      <c r="L256" s="9">
        <v>0</v>
      </c>
      <c r="M256" s="9">
        <v>8</v>
      </c>
      <c r="N256" s="9">
        <f t="shared" si="16"/>
        <v>8</v>
      </c>
      <c r="O256" s="9"/>
      <c r="P256" s="9"/>
      <c r="Q256" s="25"/>
      <c r="R256" s="11">
        <v>0</v>
      </c>
      <c r="S256" s="1">
        <v>0.12</v>
      </c>
      <c r="T256" s="1">
        <f t="shared" si="17"/>
        <v>0.12</v>
      </c>
      <c r="U256" s="12">
        <v>1</v>
      </c>
      <c r="V256" s="13">
        <v>47.338464999999999</v>
      </c>
      <c r="W256" s="14">
        <f t="shared" si="18"/>
        <v>4499.0477136</v>
      </c>
      <c r="X256" s="25"/>
      <c r="Y256" s="14">
        <f>T256*V256/100*N256*100*100*((100-U256)/100)</f>
        <v>4499.0477136</v>
      </c>
      <c r="Z256" s="3"/>
      <c r="AA256" s="3"/>
      <c r="AB256" s="5"/>
      <c r="AC256" s="5"/>
      <c r="AD256" s="32"/>
      <c r="AE256" s="32"/>
      <c r="AF256" s="3"/>
      <c r="AG256" s="7"/>
      <c r="AH256" s="7"/>
      <c r="AI256" s="3" t="s">
        <v>107</v>
      </c>
      <c r="AJ256" s="7" t="s">
        <v>87</v>
      </c>
      <c r="AK256" s="3"/>
      <c r="AL256" cm="1">
        <f t="array" ref="AL256">IF(getColor(V256) = 16777215, 0, 1)</f>
        <v>0</v>
      </c>
    </row>
    <row r="257" spans="1:38">
      <c r="A257" s="1">
        <v>256</v>
      </c>
      <c r="B257" s="3" t="s">
        <v>27</v>
      </c>
      <c r="C257" s="7" t="s">
        <v>204</v>
      </c>
      <c r="D257" s="7" t="s">
        <v>203</v>
      </c>
      <c r="E257" s="8">
        <v>56.438855555555556</v>
      </c>
      <c r="F257" s="8">
        <v>-133.62076666666667</v>
      </c>
      <c r="G257" s="9" t="s">
        <v>30</v>
      </c>
      <c r="H257" s="3" t="s">
        <v>31</v>
      </c>
      <c r="I257" s="3" t="s">
        <v>31</v>
      </c>
      <c r="J257" s="3" t="s">
        <v>31</v>
      </c>
      <c r="K257" s="7" t="s">
        <v>77</v>
      </c>
      <c r="L257" s="9">
        <v>8</v>
      </c>
      <c r="M257" s="9">
        <v>18</v>
      </c>
      <c r="N257" s="9">
        <f t="shared" si="16"/>
        <v>10</v>
      </c>
      <c r="O257" s="9"/>
      <c r="P257" s="9"/>
      <c r="Q257" s="25"/>
      <c r="R257" s="11">
        <v>0</v>
      </c>
      <c r="S257" s="1">
        <v>0.86</v>
      </c>
      <c r="T257" s="1">
        <f t="shared" si="17"/>
        <v>0.86</v>
      </c>
      <c r="U257" s="12">
        <v>23</v>
      </c>
      <c r="V257" s="13">
        <v>23.461650000000002</v>
      </c>
      <c r="W257" s="14">
        <f t="shared" si="18"/>
        <v>15536.304630000001</v>
      </c>
      <c r="X257" s="25"/>
      <c r="Y257" s="14">
        <f>T257*V257/100*N257*100*100*((100-U257)/100)</f>
        <v>15536.304630000001</v>
      </c>
      <c r="Z257" s="3"/>
      <c r="AA257" s="3"/>
      <c r="AB257" s="5"/>
      <c r="AC257" s="1"/>
      <c r="AD257" s="28"/>
      <c r="AE257" s="28"/>
      <c r="AF257" s="3"/>
      <c r="AG257" s="7"/>
      <c r="AH257" s="7"/>
      <c r="AI257" s="3" t="s">
        <v>107</v>
      </c>
      <c r="AJ257" s="7" t="s">
        <v>78</v>
      </c>
      <c r="AK257" s="3"/>
      <c r="AL257" cm="1">
        <f t="array" ref="AL257">IF(getColor(V257) = 16777215, 0, 1)</f>
        <v>0</v>
      </c>
    </row>
    <row r="258" spans="1:38">
      <c r="A258" s="1">
        <v>257</v>
      </c>
      <c r="B258" s="3" t="s">
        <v>27</v>
      </c>
      <c r="C258" s="7" t="s">
        <v>204</v>
      </c>
      <c r="D258" s="7" t="s">
        <v>203</v>
      </c>
      <c r="E258" s="8">
        <v>56.438855555555556</v>
      </c>
      <c r="F258" s="8">
        <v>-133.62076666666667</v>
      </c>
      <c r="G258" s="9" t="s">
        <v>30</v>
      </c>
      <c r="H258" s="3" t="s">
        <v>31</v>
      </c>
      <c r="I258" s="3" t="s">
        <v>31</v>
      </c>
      <c r="J258" s="3" t="s">
        <v>31</v>
      </c>
      <c r="K258" s="7" t="s">
        <v>41</v>
      </c>
      <c r="L258" s="9">
        <v>18</v>
      </c>
      <c r="M258" s="9">
        <v>30</v>
      </c>
      <c r="N258" s="9">
        <f t="shared" ref="N258:N321" si="21">ABS(M258-L258)</f>
        <v>12</v>
      </c>
      <c r="O258" s="9"/>
      <c r="P258" s="9"/>
      <c r="Q258" s="25"/>
      <c r="R258" s="11">
        <v>0</v>
      </c>
      <c r="S258" s="1">
        <v>1.17</v>
      </c>
      <c r="T258" s="1">
        <f t="shared" ref="T258:T321" si="22">IF(R258=0,S258,R258)</f>
        <v>1.17</v>
      </c>
      <c r="U258" s="12">
        <v>69</v>
      </c>
      <c r="V258" s="13">
        <v>12.66736</v>
      </c>
      <c r="W258" s="14">
        <f t="shared" si="18"/>
        <v>5513.3417664000008</v>
      </c>
      <c r="X258" s="25"/>
      <c r="Y258" s="14">
        <f>T258*V258/100*N258*100*100*((100-U258)/100)</f>
        <v>5513.3417664000008</v>
      </c>
      <c r="Z258" s="3"/>
      <c r="AA258" s="3"/>
      <c r="AB258" s="5"/>
      <c r="AC258" s="1"/>
      <c r="AD258" s="28"/>
      <c r="AE258" s="28"/>
      <c r="AF258" s="3"/>
      <c r="AG258" s="7"/>
      <c r="AH258" s="7"/>
      <c r="AI258" s="3" t="s">
        <v>107</v>
      </c>
      <c r="AJ258" s="7" t="s">
        <v>61</v>
      </c>
      <c r="AK258" s="3"/>
      <c r="AL258" cm="1">
        <f t="array" ref="AL258">IF(getColor(V258) = 16777215, 0, 1)</f>
        <v>0</v>
      </c>
    </row>
    <row r="259" spans="1:38">
      <c r="A259" s="1">
        <v>258</v>
      </c>
      <c r="B259" s="3" t="s">
        <v>27</v>
      </c>
      <c r="C259" s="7" t="s">
        <v>204</v>
      </c>
      <c r="D259" s="7" t="s">
        <v>203</v>
      </c>
      <c r="E259" s="8">
        <v>56.438855555555556</v>
      </c>
      <c r="F259" s="8">
        <v>-133.62076666666667</v>
      </c>
      <c r="G259" s="9" t="s">
        <v>30</v>
      </c>
      <c r="H259" s="3" t="s">
        <v>31</v>
      </c>
      <c r="I259" s="3" t="s">
        <v>31</v>
      </c>
      <c r="J259" s="3" t="s">
        <v>31</v>
      </c>
      <c r="K259" s="7" t="s">
        <v>175</v>
      </c>
      <c r="L259" s="9">
        <v>30</v>
      </c>
      <c r="M259" s="9">
        <v>61</v>
      </c>
      <c r="N259" s="9">
        <f t="shared" si="21"/>
        <v>31</v>
      </c>
      <c r="O259" s="9"/>
      <c r="P259" s="9"/>
      <c r="Q259" s="25"/>
      <c r="R259" s="11">
        <v>0</v>
      </c>
      <c r="S259" s="1">
        <v>1.71</v>
      </c>
      <c r="T259" s="1">
        <f t="shared" si="22"/>
        <v>1.71</v>
      </c>
      <c r="U259" s="12">
        <v>77</v>
      </c>
      <c r="V259" s="13">
        <v>8.5157100000000003</v>
      </c>
      <c r="W259" s="14">
        <f t="shared" ref="W259:W322" si="23">T259*V259/100*N259*100*100*((100-U259)/100)</f>
        <v>10382.609103299999</v>
      </c>
      <c r="X259" s="25"/>
      <c r="Y259" s="14">
        <f>T259*V259/100*N259*100*100*((100-U259)/100)</f>
        <v>10382.609103299999</v>
      </c>
      <c r="Z259" s="3"/>
      <c r="AA259" s="3"/>
      <c r="AB259" s="5"/>
      <c r="AC259" s="1"/>
      <c r="AD259" s="28"/>
      <c r="AE259" s="28"/>
      <c r="AF259" s="3"/>
      <c r="AG259" s="7"/>
      <c r="AH259" s="7"/>
      <c r="AI259" s="3" t="s">
        <v>107</v>
      </c>
      <c r="AJ259" s="7" t="s">
        <v>175</v>
      </c>
      <c r="AK259" s="3"/>
      <c r="AL259" cm="1">
        <f t="array" ref="AL259">IF(getColor(V259) = 16777215, 0, 1)</f>
        <v>0</v>
      </c>
    </row>
    <row r="260" spans="1:38">
      <c r="A260" s="1">
        <v>259</v>
      </c>
      <c r="B260" s="3" t="s">
        <v>27</v>
      </c>
      <c r="C260" s="7" t="s">
        <v>204</v>
      </c>
      <c r="D260" s="7" t="s">
        <v>203</v>
      </c>
      <c r="E260" s="8">
        <v>56.438855555555556</v>
      </c>
      <c r="F260" s="8">
        <v>-133.62076666666667</v>
      </c>
      <c r="G260" s="9" t="s">
        <v>30</v>
      </c>
      <c r="H260" s="3" t="s">
        <v>31</v>
      </c>
      <c r="I260" s="3" t="s">
        <v>31</v>
      </c>
      <c r="J260" s="3" t="s">
        <v>31</v>
      </c>
      <c r="K260" s="7" t="s">
        <v>44</v>
      </c>
      <c r="L260" s="9">
        <v>61</v>
      </c>
      <c r="M260" s="9">
        <v>107</v>
      </c>
      <c r="N260" s="9">
        <f t="shared" si="21"/>
        <v>46</v>
      </c>
      <c r="O260" s="9"/>
      <c r="P260" s="9"/>
      <c r="Q260" s="25"/>
      <c r="R260" s="11">
        <v>0</v>
      </c>
      <c r="S260" s="1">
        <v>1.74</v>
      </c>
      <c r="T260" s="1">
        <f t="shared" si="22"/>
        <v>1.74</v>
      </c>
      <c r="U260" s="12">
        <v>68</v>
      </c>
      <c r="V260" s="13">
        <v>9.568105000000001</v>
      </c>
      <c r="W260" s="14">
        <f t="shared" si="23"/>
        <v>24506.595974399999</v>
      </c>
      <c r="X260" s="25"/>
      <c r="Y260" s="14">
        <f>IF(L260&gt;-100,W260-W260*(ABS(M260)-100)/(ABS(M260)-ABS(L260)),0)</f>
        <v>20777.3313696</v>
      </c>
      <c r="Z260" s="3"/>
      <c r="AA260" s="3"/>
      <c r="AB260" s="5"/>
      <c r="AC260" s="1"/>
      <c r="AD260" s="28"/>
      <c r="AE260" s="28"/>
      <c r="AF260" s="3"/>
      <c r="AG260" s="7"/>
      <c r="AH260" s="7"/>
      <c r="AI260" s="3" t="s">
        <v>107</v>
      </c>
      <c r="AJ260" s="7" t="s">
        <v>44</v>
      </c>
      <c r="AK260" s="3"/>
      <c r="AL260" cm="1">
        <f t="array" ref="AL260">IF(getColor(V260) = 16777215, 0, 1)</f>
        <v>0</v>
      </c>
    </row>
    <row r="261" spans="1:38">
      <c r="A261" s="1">
        <v>260</v>
      </c>
      <c r="B261" s="3" t="s">
        <v>27</v>
      </c>
      <c r="C261" s="7" t="s">
        <v>205</v>
      </c>
      <c r="D261" s="7" t="s">
        <v>206</v>
      </c>
      <c r="E261" s="8">
        <v>56.461111111111116</v>
      </c>
      <c r="F261" s="8">
        <v>-132.61743333333334</v>
      </c>
      <c r="G261" s="9" t="s">
        <v>30</v>
      </c>
      <c r="H261" s="3" t="s">
        <v>31</v>
      </c>
      <c r="I261" s="3" t="s">
        <v>31</v>
      </c>
      <c r="J261" s="3" t="s">
        <v>31</v>
      </c>
      <c r="K261" s="7" t="s">
        <v>53</v>
      </c>
      <c r="L261" s="9">
        <v>5</v>
      </c>
      <c r="M261" s="9">
        <v>0</v>
      </c>
      <c r="N261" s="9">
        <f t="shared" si="21"/>
        <v>5</v>
      </c>
      <c r="O261" s="29">
        <f>M267</f>
        <v>152</v>
      </c>
      <c r="P261" s="29">
        <f>L261</f>
        <v>5</v>
      </c>
      <c r="Q261" s="29">
        <f>P261+O261</f>
        <v>157</v>
      </c>
      <c r="R261" s="11">
        <v>0</v>
      </c>
      <c r="S261" s="1">
        <v>0.11</v>
      </c>
      <c r="T261" s="1">
        <f t="shared" si="22"/>
        <v>0.11</v>
      </c>
      <c r="U261" s="12">
        <v>0</v>
      </c>
      <c r="V261" s="31">
        <v>37.79128262471886</v>
      </c>
      <c r="W261" s="14">
        <f t="shared" si="23"/>
        <v>2078.5205443595369</v>
      </c>
      <c r="X261" s="14">
        <f>SUM(W261:W267)</f>
        <v>38976.625637859543</v>
      </c>
      <c r="Y261" s="14">
        <f t="shared" ref="Y261:Y266" si="24">T261*V261/100*N261*100*100*((100-U261)/100)</f>
        <v>2078.5205443595369</v>
      </c>
      <c r="Z261" s="15">
        <f>SUM(Y261:Y267)/10^6*10^4</f>
        <v>313.41497981859538</v>
      </c>
      <c r="AA261" s="16">
        <v>37.755119463402075</v>
      </c>
      <c r="AB261" s="5"/>
      <c r="AC261" s="1"/>
      <c r="AD261" s="28"/>
      <c r="AE261" s="28"/>
      <c r="AF261" s="3"/>
      <c r="AG261" s="7"/>
      <c r="AH261" s="7"/>
      <c r="AI261" s="3" t="s">
        <v>107</v>
      </c>
      <c r="AJ261" s="7" t="s">
        <v>53</v>
      </c>
      <c r="AK261" s="3"/>
      <c r="AL261" cm="1">
        <f t="array" ref="AL261">IF(getColor(V261) = 16777215, 0, 1)</f>
        <v>1</v>
      </c>
    </row>
    <row r="262" spans="1:38">
      <c r="A262" s="1">
        <v>261</v>
      </c>
      <c r="B262" s="3" t="s">
        <v>27</v>
      </c>
      <c r="C262" s="7" t="s">
        <v>205</v>
      </c>
      <c r="D262" s="7" t="s">
        <v>206</v>
      </c>
      <c r="E262" s="8">
        <v>56.461111111111116</v>
      </c>
      <c r="F262" s="8">
        <v>-132.61743333333334</v>
      </c>
      <c r="G262" s="9" t="s">
        <v>30</v>
      </c>
      <c r="H262" s="3" t="s">
        <v>31</v>
      </c>
      <c r="I262" s="3" t="s">
        <v>31</v>
      </c>
      <c r="J262" s="3" t="s">
        <v>31</v>
      </c>
      <c r="K262" s="7" t="s">
        <v>207</v>
      </c>
      <c r="L262" s="9">
        <v>0</v>
      </c>
      <c r="M262" s="9">
        <v>8</v>
      </c>
      <c r="N262" s="9">
        <f t="shared" si="21"/>
        <v>8</v>
      </c>
      <c r="O262" s="9"/>
      <c r="P262" s="9"/>
      <c r="Q262" s="25"/>
      <c r="R262" s="11">
        <v>0</v>
      </c>
      <c r="S262" s="1">
        <v>0.93</v>
      </c>
      <c r="T262" s="1">
        <f t="shared" si="22"/>
        <v>0.93</v>
      </c>
      <c r="U262" s="12">
        <v>0</v>
      </c>
      <c r="V262" s="13">
        <v>17.070039999999999</v>
      </c>
      <c r="W262" s="14">
        <f t="shared" si="23"/>
        <v>12700.109760000001</v>
      </c>
      <c r="X262" s="25"/>
      <c r="Y262" s="14">
        <f t="shared" si="24"/>
        <v>12700.109760000001</v>
      </c>
      <c r="Z262" s="3"/>
      <c r="AA262" s="3"/>
      <c r="AB262" s="5"/>
      <c r="AC262" s="5"/>
      <c r="AD262" s="32"/>
      <c r="AE262" s="32"/>
      <c r="AF262" s="3"/>
      <c r="AG262" s="7"/>
      <c r="AH262" s="7"/>
      <c r="AI262" s="3" t="s">
        <v>107</v>
      </c>
      <c r="AJ262" s="7" t="s">
        <v>207</v>
      </c>
      <c r="AK262" s="3"/>
      <c r="AL262" cm="1">
        <f t="array" ref="AL262">IF(getColor(V262) = 16777215, 0, 1)</f>
        <v>0</v>
      </c>
    </row>
    <row r="263" spans="1:38">
      <c r="A263" s="1">
        <v>262</v>
      </c>
      <c r="B263" s="3" t="s">
        <v>27</v>
      </c>
      <c r="C263" s="7" t="s">
        <v>205</v>
      </c>
      <c r="D263" s="7" t="s">
        <v>206</v>
      </c>
      <c r="E263" s="8">
        <v>56.461111111111116</v>
      </c>
      <c r="F263" s="8">
        <v>-132.61743333333334</v>
      </c>
      <c r="G263" s="9" t="s">
        <v>30</v>
      </c>
      <c r="H263" s="3" t="s">
        <v>31</v>
      </c>
      <c r="I263" s="3" t="s">
        <v>31</v>
      </c>
      <c r="J263" s="3" t="s">
        <v>31</v>
      </c>
      <c r="K263" s="7" t="s">
        <v>208</v>
      </c>
      <c r="L263" s="9">
        <v>8</v>
      </c>
      <c r="M263" s="9">
        <v>15</v>
      </c>
      <c r="N263" s="9">
        <f t="shared" si="21"/>
        <v>7</v>
      </c>
      <c r="O263" s="9"/>
      <c r="P263" s="9"/>
      <c r="Q263" s="25"/>
      <c r="R263" s="11">
        <v>0</v>
      </c>
      <c r="S263" s="1">
        <v>0.93</v>
      </c>
      <c r="T263" s="1">
        <f t="shared" si="22"/>
        <v>0.93</v>
      </c>
      <c r="U263" s="12">
        <v>0</v>
      </c>
      <c r="V263" s="13">
        <v>5.1654249999999999</v>
      </c>
      <c r="W263" s="14">
        <f t="shared" si="23"/>
        <v>3362.691675</v>
      </c>
      <c r="X263" s="25"/>
      <c r="Y263" s="14">
        <f t="shared" si="24"/>
        <v>3362.691675</v>
      </c>
      <c r="Z263" s="3"/>
      <c r="AA263" s="3"/>
      <c r="AB263" s="5"/>
      <c r="AC263" s="1"/>
      <c r="AD263" s="28"/>
      <c r="AE263" s="28"/>
      <c r="AF263" s="3"/>
      <c r="AG263" s="7"/>
      <c r="AH263" s="7"/>
      <c r="AI263" s="3" t="s">
        <v>107</v>
      </c>
      <c r="AJ263" s="7" t="s">
        <v>208</v>
      </c>
      <c r="AK263" s="3"/>
      <c r="AL263" cm="1">
        <f t="array" ref="AL263">IF(getColor(V263) = 16777215, 0, 1)</f>
        <v>0</v>
      </c>
    </row>
    <row r="264" spans="1:38">
      <c r="A264" s="1">
        <v>263</v>
      </c>
      <c r="B264" s="3" t="s">
        <v>27</v>
      </c>
      <c r="C264" s="7" t="s">
        <v>205</v>
      </c>
      <c r="D264" s="7" t="s">
        <v>206</v>
      </c>
      <c r="E264" s="8">
        <v>56.461111111111116</v>
      </c>
      <c r="F264" s="8">
        <v>-132.61743333333334</v>
      </c>
      <c r="G264" s="9" t="s">
        <v>30</v>
      </c>
      <c r="H264" s="3" t="s">
        <v>31</v>
      </c>
      <c r="I264" s="3" t="s">
        <v>31</v>
      </c>
      <c r="J264" s="3" t="s">
        <v>31</v>
      </c>
      <c r="K264" s="7" t="s">
        <v>69</v>
      </c>
      <c r="L264" s="9">
        <v>15</v>
      </c>
      <c r="M264" s="9">
        <v>38</v>
      </c>
      <c r="N264" s="9">
        <f t="shared" si="21"/>
        <v>23</v>
      </c>
      <c r="O264" s="9"/>
      <c r="P264" s="9"/>
      <c r="Q264" s="25"/>
      <c r="R264" s="11">
        <v>0</v>
      </c>
      <c r="S264" s="1">
        <v>1.17</v>
      </c>
      <c r="T264" s="1">
        <f t="shared" si="22"/>
        <v>1.17</v>
      </c>
      <c r="U264" s="12">
        <v>0</v>
      </c>
      <c r="V264" s="13">
        <v>1.66066</v>
      </c>
      <c r="W264" s="14">
        <f t="shared" si="23"/>
        <v>4468.8360599999996</v>
      </c>
      <c r="X264" s="25"/>
      <c r="Y264" s="14">
        <f t="shared" si="24"/>
        <v>4468.8360599999996</v>
      </c>
      <c r="Z264" s="3"/>
      <c r="AA264" s="3"/>
      <c r="AB264" s="5"/>
      <c r="AC264" s="1"/>
      <c r="AD264" s="28"/>
      <c r="AE264" s="28"/>
      <c r="AF264" s="3"/>
      <c r="AG264" s="7"/>
      <c r="AH264" s="7"/>
      <c r="AI264" s="3" t="s">
        <v>107</v>
      </c>
      <c r="AJ264" s="7" t="s">
        <v>70</v>
      </c>
      <c r="AK264" s="3"/>
      <c r="AL264" cm="1">
        <f t="array" ref="AL264">IF(getColor(V264) = 16777215, 0, 1)</f>
        <v>0</v>
      </c>
    </row>
    <row r="265" spans="1:38">
      <c r="A265" s="1">
        <v>264</v>
      </c>
      <c r="B265" s="3" t="s">
        <v>27</v>
      </c>
      <c r="C265" s="7" t="s">
        <v>205</v>
      </c>
      <c r="D265" s="7" t="s">
        <v>206</v>
      </c>
      <c r="E265" s="8">
        <v>56.461111111111116</v>
      </c>
      <c r="F265" s="8">
        <v>-132.61743333333334</v>
      </c>
      <c r="G265" s="9" t="s">
        <v>30</v>
      </c>
      <c r="H265" s="3" t="s">
        <v>31</v>
      </c>
      <c r="I265" s="3" t="s">
        <v>31</v>
      </c>
      <c r="J265" s="3" t="s">
        <v>31</v>
      </c>
      <c r="K265" s="7" t="s">
        <v>71</v>
      </c>
      <c r="L265" s="9">
        <v>38</v>
      </c>
      <c r="M265" s="9">
        <v>56</v>
      </c>
      <c r="N265" s="9">
        <f t="shared" si="21"/>
        <v>18</v>
      </c>
      <c r="O265" s="9"/>
      <c r="P265" s="9"/>
      <c r="Q265" s="25"/>
      <c r="R265" s="11">
        <v>0</v>
      </c>
      <c r="S265" s="1">
        <v>1.17</v>
      </c>
      <c r="T265" s="1">
        <f t="shared" si="22"/>
        <v>1.17</v>
      </c>
      <c r="U265" s="12">
        <v>5</v>
      </c>
      <c r="V265" s="13">
        <v>1.0137750000000001</v>
      </c>
      <c r="W265" s="14">
        <f t="shared" si="23"/>
        <v>2028.2596424999999</v>
      </c>
      <c r="X265" s="25"/>
      <c r="Y265" s="14">
        <f t="shared" si="24"/>
        <v>2028.2596424999999</v>
      </c>
      <c r="Z265" s="3"/>
      <c r="AA265" s="3"/>
      <c r="AB265" s="5"/>
      <c r="AC265" s="1"/>
      <c r="AD265" s="28"/>
      <c r="AE265" s="28"/>
      <c r="AF265" s="3"/>
      <c r="AG265" s="7"/>
      <c r="AH265" s="7"/>
      <c r="AI265" s="3" t="s">
        <v>107</v>
      </c>
      <c r="AJ265" s="7" t="s">
        <v>72</v>
      </c>
      <c r="AK265" s="3"/>
      <c r="AL265" cm="1">
        <f t="array" ref="AL265">IF(getColor(V265) = 16777215, 0, 1)</f>
        <v>0</v>
      </c>
    </row>
    <row r="266" spans="1:38">
      <c r="A266" s="1">
        <v>265</v>
      </c>
      <c r="B266" s="3" t="s">
        <v>27</v>
      </c>
      <c r="C266" s="7" t="s">
        <v>205</v>
      </c>
      <c r="D266" s="7" t="s">
        <v>206</v>
      </c>
      <c r="E266" s="8">
        <v>56.461111111111116</v>
      </c>
      <c r="F266" s="8">
        <v>-132.61743333333334</v>
      </c>
      <c r="G266" s="9" t="s">
        <v>30</v>
      </c>
      <c r="H266" s="3" t="s">
        <v>31</v>
      </c>
      <c r="I266" s="3" t="s">
        <v>31</v>
      </c>
      <c r="J266" s="3" t="s">
        <v>31</v>
      </c>
      <c r="K266" s="7" t="s">
        <v>80</v>
      </c>
      <c r="L266" s="9">
        <v>56</v>
      </c>
      <c r="M266" s="9">
        <v>94</v>
      </c>
      <c r="N266" s="9">
        <f t="shared" si="21"/>
        <v>38</v>
      </c>
      <c r="O266" s="9"/>
      <c r="P266" s="9"/>
      <c r="Q266" s="25"/>
      <c r="R266" s="11">
        <v>0</v>
      </c>
      <c r="S266" s="1">
        <v>1.74</v>
      </c>
      <c r="T266" s="1">
        <f t="shared" si="22"/>
        <v>1.74</v>
      </c>
      <c r="U266" s="12">
        <v>5</v>
      </c>
      <c r="V266" s="13">
        <v>0.92688000000000004</v>
      </c>
      <c r="W266" s="14">
        <f t="shared" si="23"/>
        <v>5822.1040320000011</v>
      </c>
      <c r="X266" s="25"/>
      <c r="Y266" s="14">
        <f t="shared" si="24"/>
        <v>5822.1040320000011</v>
      </c>
      <c r="Z266" s="3"/>
      <c r="AA266" s="3"/>
      <c r="AB266" s="5"/>
      <c r="AC266" s="1"/>
      <c r="AD266" s="28"/>
      <c r="AE266" s="28"/>
      <c r="AF266" s="3"/>
      <c r="AG266" s="7"/>
      <c r="AH266" s="7"/>
      <c r="AI266" s="3" t="s">
        <v>107</v>
      </c>
      <c r="AJ266" s="7" t="s">
        <v>80</v>
      </c>
      <c r="AK266" s="3"/>
      <c r="AL266" cm="1">
        <f t="array" ref="AL266">IF(getColor(V266) = 16777215, 0, 1)</f>
        <v>0</v>
      </c>
    </row>
    <row r="267" spans="1:38">
      <c r="A267" s="1">
        <v>266</v>
      </c>
      <c r="B267" s="3" t="s">
        <v>27</v>
      </c>
      <c r="C267" s="7" t="s">
        <v>205</v>
      </c>
      <c r="D267" s="7" t="s">
        <v>206</v>
      </c>
      <c r="E267" s="8">
        <v>56.461111111111116</v>
      </c>
      <c r="F267" s="8">
        <v>-132.61743333333334</v>
      </c>
      <c r="G267" s="9" t="s">
        <v>30</v>
      </c>
      <c r="H267" s="3" t="s">
        <v>31</v>
      </c>
      <c r="I267" s="3" t="s">
        <v>31</v>
      </c>
      <c r="J267" s="3" t="s">
        <v>31</v>
      </c>
      <c r="K267" s="7" t="s">
        <v>81</v>
      </c>
      <c r="L267" s="9">
        <v>94</v>
      </c>
      <c r="M267" s="9">
        <v>152</v>
      </c>
      <c r="N267" s="9">
        <f t="shared" si="21"/>
        <v>58</v>
      </c>
      <c r="O267" s="9"/>
      <c r="P267" s="9"/>
      <c r="Q267" s="25"/>
      <c r="R267" s="11">
        <v>0</v>
      </c>
      <c r="S267" s="1">
        <v>1.74</v>
      </c>
      <c r="T267" s="1">
        <f t="shared" si="22"/>
        <v>1.74</v>
      </c>
      <c r="U267" s="12">
        <v>5</v>
      </c>
      <c r="V267" s="13">
        <v>0.88826000000000005</v>
      </c>
      <c r="W267" s="14">
        <f t="shared" si="23"/>
        <v>8516.1039240000009</v>
      </c>
      <c r="X267" s="25"/>
      <c r="Y267" s="14">
        <f>IF(L267&gt;-100,W267-W267*(ABS(M267)-100)/(ABS(M267)-ABS(L267)),0)</f>
        <v>880.97626800000035</v>
      </c>
      <c r="Z267" s="3"/>
      <c r="AA267" s="3"/>
      <c r="AB267" s="5"/>
      <c r="AC267" s="1"/>
      <c r="AD267" s="28"/>
      <c r="AE267" s="28"/>
      <c r="AF267" s="3"/>
      <c r="AG267" s="7"/>
      <c r="AH267" s="7"/>
      <c r="AI267" s="3" t="s">
        <v>107</v>
      </c>
      <c r="AJ267" s="7" t="s">
        <v>81</v>
      </c>
      <c r="AK267" s="3"/>
      <c r="AL267" cm="1">
        <f t="array" ref="AL267">IF(getColor(V267) = 16777215, 0, 1)</f>
        <v>0</v>
      </c>
    </row>
    <row r="268" spans="1:38">
      <c r="A268" s="1">
        <v>267</v>
      </c>
      <c r="B268" s="3" t="s">
        <v>27</v>
      </c>
      <c r="C268" s="7" t="s">
        <v>209</v>
      </c>
      <c r="D268" s="7" t="s">
        <v>210</v>
      </c>
      <c r="E268" s="8">
        <v>56.49552222222222</v>
      </c>
      <c r="F268" s="8">
        <v>-133.3716</v>
      </c>
      <c r="G268" s="9" t="s">
        <v>30</v>
      </c>
      <c r="H268" s="3" t="s">
        <v>31</v>
      </c>
      <c r="I268" s="3" t="s">
        <v>31</v>
      </c>
      <c r="J268" s="3" t="s">
        <v>31</v>
      </c>
      <c r="K268" s="7" t="s">
        <v>172</v>
      </c>
      <c r="L268" s="9">
        <v>20</v>
      </c>
      <c r="M268" s="9">
        <v>15</v>
      </c>
      <c r="N268" s="9">
        <f t="shared" si="21"/>
        <v>5</v>
      </c>
      <c r="O268" s="29">
        <f>M271</f>
        <v>91</v>
      </c>
      <c r="P268" s="29">
        <f>L268</f>
        <v>20</v>
      </c>
      <c r="Q268" s="29">
        <f>P268+O268</f>
        <v>111</v>
      </c>
      <c r="R268" s="11">
        <v>0</v>
      </c>
      <c r="S268" s="1">
        <v>0.16</v>
      </c>
      <c r="T268" s="1">
        <f t="shared" si="22"/>
        <v>0.16</v>
      </c>
      <c r="U268" s="29">
        <v>0</v>
      </c>
      <c r="V268" s="31">
        <v>37.79128262471886</v>
      </c>
      <c r="W268" s="14">
        <f t="shared" si="23"/>
        <v>3023.3026099775088</v>
      </c>
      <c r="X268" s="14">
        <f>SUM(W268:W271)</f>
        <v>27453.451025510039</v>
      </c>
      <c r="Y268" s="14">
        <f t="shared" ref="Y268:Y274" si="25">T268*V268/100*N268*100*100*((100-U268)/100)</f>
        <v>3023.3026099775088</v>
      </c>
      <c r="Z268" s="15">
        <f>SUM(Y268:Y271)/10^6*10^4</f>
        <v>274.53451025510037</v>
      </c>
      <c r="AA268" s="16">
        <v>36.16975808610141</v>
      </c>
      <c r="AB268" s="5"/>
      <c r="AC268" s="1"/>
      <c r="AD268" s="28"/>
      <c r="AE268" s="28"/>
      <c r="AF268" s="3"/>
      <c r="AG268" s="7"/>
      <c r="AH268" s="7"/>
      <c r="AI268" s="3" t="s">
        <v>118</v>
      </c>
      <c r="AJ268" s="7" t="s">
        <v>172</v>
      </c>
      <c r="AK268" s="3"/>
      <c r="AL268" cm="1">
        <f t="array" ref="AL268">IF(getColor(V268) = 16777215, 0, 1)</f>
        <v>1</v>
      </c>
    </row>
    <row r="269" spans="1:38">
      <c r="A269" s="1">
        <v>268</v>
      </c>
      <c r="B269" s="3" t="s">
        <v>27</v>
      </c>
      <c r="C269" s="7" t="s">
        <v>209</v>
      </c>
      <c r="D269" s="7" t="s">
        <v>210</v>
      </c>
      <c r="E269" s="8">
        <v>56.49552222222222</v>
      </c>
      <c r="F269" s="8">
        <v>-133.3716</v>
      </c>
      <c r="G269" s="9" t="s">
        <v>30</v>
      </c>
      <c r="H269" s="3" t="s">
        <v>31</v>
      </c>
      <c r="I269" s="3" t="s">
        <v>31</v>
      </c>
      <c r="J269" s="3" t="s">
        <v>31</v>
      </c>
      <c r="K269" s="7" t="s">
        <v>173</v>
      </c>
      <c r="L269" s="9">
        <v>15</v>
      </c>
      <c r="M269" s="9">
        <v>0</v>
      </c>
      <c r="N269" s="9">
        <f t="shared" si="21"/>
        <v>15</v>
      </c>
      <c r="O269" s="9"/>
      <c r="P269" s="9"/>
      <c r="Q269" s="25"/>
      <c r="R269" s="11">
        <v>0</v>
      </c>
      <c r="S269" s="1">
        <v>0.16</v>
      </c>
      <c r="T269" s="1">
        <f t="shared" si="22"/>
        <v>0.16</v>
      </c>
      <c r="U269" s="29">
        <v>0</v>
      </c>
      <c r="V269" s="31">
        <v>37.79128262471886</v>
      </c>
      <c r="W269" s="14">
        <f t="shared" si="23"/>
        <v>9069.9078299325283</v>
      </c>
      <c r="X269" s="25"/>
      <c r="Y269" s="14">
        <f t="shared" si="25"/>
        <v>9069.9078299325283</v>
      </c>
      <c r="Z269" s="3"/>
      <c r="AA269" s="3"/>
      <c r="AB269" s="5"/>
      <c r="AC269" s="5"/>
      <c r="AD269" s="32"/>
      <c r="AE269" s="32"/>
      <c r="AF269" s="3"/>
      <c r="AG269" s="7"/>
      <c r="AH269" s="7"/>
      <c r="AI269" s="3" t="s">
        <v>118</v>
      </c>
      <c r="AJ269" s="7" t="s">
        <v>173</v>
      </c>
      <c r="AK269" s="3"/>
      <c r="AL269" cm="1">
        <f t="array" ref="AL269">IF(getColor(V269) = 16777215, 0, 1)</f>
        <v>1</v>
      </c>
    </row>
    <row r="270" spans="1:38">
      <c r="A270" s="1">
        <v>269</v>
      </c>
      <c r="B270" s="3" t="s">
        <v>27</v>
      </c>
      <c r="C270" s="7" t="s">
        <v>209</v>
      </c>
      <c r="D270" s="7" t="s">
        <v>210</v>
      </c>
      <c r="E270" s="8">
        <v>56.49552222222222</v>
      </c>
      <c r="F270" s="8">
        <v>-133.3716</v>
      </c>
      <c r="G270" s="9" t="s">
        <v>30</v>
      </c>
      <c r="H270" s="3" t="s">
        <v>31</v>
      </c>
      <c r="I270" s="3" t="s">
        <v>31</v>
      </c>
      <c r="J270" s="3" t="s">
        <v>31</v>
      </c>
      <c r="K270" s="7" t="s">
        <v>47</v>
      </c>
      <c r="L270" s="9">
        <v>0</v>
      </c>
      <c r="M270" s="9">
        <v>23</v>
      </c>
      <c r="N270" s="9">
        <f t="shared" si="21"/>
        <v>23</v>
      </c>
      <c r="O270" s="9"/>
      <c r="P270" s="9"/>
      <c r="Q270" s="25"/>
      <c r="R270" s="11">
        <v>0</v>
      </c>
      <c r="S270" s="1">
        <v>1.24</v>
      </c>
      <c r="T270" s="1">
        <f t="shared" si="22"/>
        <v>1.24</v>
      </c>
      <c r="U270" s="12">
        <v>0</v>
      </c>
      <c r="V270" s="13">
        <v>2.073528</v>
      </c>
      <c r="W270" s="14">
        <f t="shared" si="23"/>
        <v>5913.7018560000006</v>
      </c>
      <c r="X270" s="25"/>
      <c r="Y270" s="14">
        <f t="shared" si="25"/>
        <v>5913.7018560000006</v>
      </c>
      <c r="Z270" s="3"/>
      <c r="AA270" s="3"/>
      <c r="AB270" s="5"/>
      <c r="AC270" s="1"/>
      <c r="AD270" s="32"/>
      <c r="AE270" s="32"/>
      <c r="AF270" s="3"/>
      <c r="AG270" s="7"/>
      <c r="AH270" s="7"/>
      <c r="AI270" s="3" t="s">
        <v>118</v>
      </c>
      <c r="AJ270" s="7" t="s">
        <v>47</v>
      </c>
      <c r="AK270" s="3"/>
      <c r="AL270" cm="1">
        <f t="array" ref="AL270">IF(getColor(V270) = 16777215, 0, 1)</f>
        <v>0</v>
      </c>
    </row>
    <row r="271" spans="1:38">
      <c r="A271" s="1">
        <v>270</v>
      </c>
      <c r="B271" s="3" t="s">
        <v>27</v>
      </c>
      <c r="C271" s="7" t="s">
        <v>209</v>
      </c>
      <c r="D271" s="7" t="s">
        <v>210</v>
      </c>
      <c r="E271" s="8">
        <v>56.49552222222222</v>
      </c>
      <c r="F271" s="8">
        <v>-133.3716</v>
      </c>
      <c r="G271" s="9" t="s">
        <v>30</v>
      </c>
      <c r="H271" s="3" t="s">
        <v>31</v>
      </c>
      <c r="I271" s="3" t="s">
        <v>31</v>
      </c>
      <c r="J271" s="3" t="s">
        <v>31</v>
      </c>
      <c r="K271" s="7" t="s">
        <v>44</v>
      </c>
      <c r="L271" s="9">
        <v>23</v>
      </c>
      <c r="M271" s="9">
        <v>91</v>
      </c>
      <c r="N271" s="9">
        <f t="shared" si="21"/>
        <v>68</v>
      </c>
      <c r="O271" s="9"/>
      <c r="P271" s="9"/>
      <c r="Q271" s="25"/>
      <c r="R271" s="11">
        <v>0</v>
      </c>
      <c r="S271" s="1">
        <v>1.38</v>
      </c>
      <c r="T271" s="1">
        <f t="shared" si="22"/>
        <v>1.38</v>
      </c>
      <c r="U271" s="12">
        <v>65</v>
      </c>
      <c r="V271" s="13">
        <v>2.8761839999999999</v>
      </c>
      <c r="W271" s="14">
        <f t="shared" si="23"/>
        <v>9446.538729599999</v>
      </c>
      <c r="X271" s="25"/>
      <c r="Y271" s="14">
        <f t="shared" si="25"/>
        <v>9446.538729599999</v>
      </c>
      <c r="Z271" s="3"/>
      <c r="AA271" s="3"/>
      <c r="AB271" s="5"/>
      <c r="AC271" s="1"/>
      <c r="AD271" s="28"/>
      <c r="AE271" s="28"/>
      <c r="AF271" s="3"/>
      <c r="AG271" s="7"/>
      <c r="AH271" s="7"/>
      <c r="AI271" s="3" t="s">
        <v>118</v>
      </c>
      <c r="AJ271" s="7" t="s">
        <v>44</v>
      </c>
      <c r="AK271" s="3"/>
      <c r="AL271" cm="1">
        <f t="array" ref="AL271">IF(getColor(V271) = 16777215, 0, 1)</f>
        <v>0</v>
      </c>
    </row>
    <row r="272" spans="1:38">
      <c r="A272" s="1">
        <v>271</v>
      </c>
      <c r="B272" s="3" t="s">
        <v>27</v>
      </c>
      <c r="C272" s="7" t="s">
        <v>211</v>
      </c>
      <c r="D272" s="7" t="s">
        <v>206</v>
      </c>
      <c r="E272" s="8">
        <v>56.583300000000001</v>
      </c>
      <c r="F272" s="8">
        <v>-133.7833</v>
      </c>
      <c r="G272" s="9" t="s">
        <v>30</v>
      </c>
      <c r="H272" s="3" t="s">
        <v>31</v>
      </c>
      <c r="I272" s="3" t="s">
        <v>31</v>
      </c>
      <c r="J272" s="3" t="s">
        <v>31</v>
      </c>
      <c r="K272" s="7" t="s">
        <v>53</v>
      </c>
      <c r="L272" s="9">
        <v>13</v>
      </c>
      <c r="M272" s="9">
        <v>0</v>
      </c>
      <c r="N272" s="9">
        <f t="shared" si="21"/>
        <v>13</v>
      </c>
      <c r="O272" s="29">
        <f>M275</f>
        <v>152</v>
      </c>
      <c r="P272" s="29">
        <f>L272</f>
        <v>13</v>
      </c>
      <c r="Q272" s="29">
        <f>P272+O272</f>
        <v>165</v>
      </c>
      <c r="R272" s="11">
        <v>0</v>
      </c>
      <c r="S272" s="1">
        <v>0.11</v>
      </c>
      <c r="T272" s="1">
        <f t="shared" si="22"/>
        <v>0.11</v>
      </c>
      <c r="U272" s="29">
        <v>0</v>
      </c>
      <c r="V272" s="31">
        <v>37.79128262471886</v>
      </c>
      <c r="W272" s="14">
        <f t="shared" si="23"/>
        <v>5404.1534153347957</v>
      </c>
      <c r="X272" s="14">
        <f>SUM(W272:W275)</f>
        <v>154334.10218033477</v>
      </c>
      <c r="Y272" s="14">
        <f t="shared" si="25"/>
        <v>5404.1534153347957</v>
      </c>
      <c r="Z272" s="15">
        <f>SUM(Y272:Y275)/10^6*10^4</f>
        <v>1050.3773448833479</v>
      </c>
      <c r="AA272" s="16">
        <v>89.593846745876988</v>
      </c>
      <c r="AB272" s="5"/>
      <c r="AC272" s="1"/>
      <c r="AD272" s="28"/>
      <c r="AE272" s="28"/>
      <c r="AF272" s="3"/>
      <c r="AG272" s="7"/>
      <c r="AH272" s="7"/>
      <c r="AI272" s="3" t="s">
        <v>107</v>
      </c>
      <c r="AJ272" s="7" t="s">
        <v>53</v>
      </c>
      <c r="AK272" s="3"/>
      <c r="AL272" cm="1">
        <f t="array" ref="AL272">IF(getColor(V272) = 16777215, 0, 1)</f>
        <v>1</v>
      </c>
    </row>
    <row r="273" spans="1:38">
      <c r="A273" s="1">
        <v>272</v>
      </c>
      <c r="B273" s="3" t="s">
        <v>27</v>
      </c>
      <c r="C273" s="7" t="s">
        <v>211</v>
      </c>
      <c r="D273" s="7" t="s">
        <v>206</v>
      </c>
      <c r="E273" s="8">
        <v>56.583300000000001</v>
      </c>
      <c r="F273" s="8">
        <v>-133.7833</v>
      </c>
      <c r="G273" s="9" t="s">
        <v>30</v>
      </c>
      <c r="H273" s="3" t="s">
        <v>31</v>
      </c>
      <c r="I273" s="3" t="s">
        <v>31</v>
      </c>
      <c r="J273" s="3" t="s">
        <v>31</v>
      </c>
      <c r="K273" s="7" t="s">
        <v>77</v>
      </c>
      <c r="L273" s="9">
        <v>0</v>
      </c>
      <c r="M273" s="9">
        <v>10</v>
      </c>
      <c r="N273" s="9">
        <f t="shared" si="21"/>
        <v>10</v>
      </c>
      <c r="O273" s="9"/>
      <c r="P273" s="9"/>
      <c r="Q273" s="25"/>
      <c r="R273" s="11">
        <v>0</v>
      </c>
      <c r="S273" s="1">
        <v>0.86</v>
      </c>
      <c r="T273" s="1">
        <f t="shared" si="22"/>
        <v>0.86</v>
      </c>
      <c r="U273" s="12">
        <v>10</v>
      </c>
      <c r="V273" s="13">
        <v>18.006574999999998</v>
      </c>
      <c r="W273" s="14">
        <f t="shared" si="23"/>
        <v>13937.089049999999</v>
      </c>
      <c r="X273" s="25"/>
      <c r="Y273" s="14">
        <f t="shared" si="25"/>
        <v>13937.089049999999</v>
      </c>
      <c r="Z273" s="3"/>
      <c r="AA273" s="3"/>
      <c r="AB273" s="5"/>
      <c r="AC273" s="5"/>
      <c r="AD273" s="32"/>
      <c r="AE273" s="32"/>
      <c r="AF273" s="3"/>
      <c r="AG273" s="7"/>
      <c r="AH273" s="7"/>
      <c r="AI273" s="3" t="s">
        <v>107</v>
      </c>
      <c r="AJ273" s="7" t="s">
        <v>78</v>
      </c>
      <c r="AK273" s="3"/>
      <c r="AL273" cm="1">
        <f t="array" ref="AL273">IF(getColor(V273) = 16777215, 0, 1)</f>
        <v>0</v>
      </c>
    </row>
    <row r="274" spans="1:38">
      <c r="A274" s="1">
        <v>273</v>
      </c>
      <c r="B274" s="3" t="s">
        <v>27</v>
      </c>
      <c r="C274" s="7" t="s">
        <v>211</v>
      </c>
      <c r="D274" s="7" t="s">
        <v>206</v>
      </c>
      <c r="E274" s="8">
        <v>56.583300000000001</v>
      </c>
      <c r="F274" s="8">
        <v>-133.7833</v>
      </c>
      <c r="G274" s="9" t="s">
        <v>30</v>
      </c>
      <c r="H274" s="3" t="s">
        <v>31</v>
      </c>
      <c r="I274" s="3" t="s">
        <v>31</v>
      </c>
      <c r="J274" s="3" t="s">
        <v>31</v>
      </c>
      <c r="K274" s="7" t="s">
        <v>41</v>
      </c>
      <c r="L274" s="9">
        <v>10</v>
      </c>
      <c r="M274" s="9">
        <v>28</v>
      </c>
      <c r="N274" s="9">
        <f t="shared" si="21"/>
        <v>18</v>
      </c>
      <c r="O274" s="9"/>
      <c r="P274" s="9"/>
      <c r="Q274" s="25"/>
      <c r="R274" s="11">
        <v>0</v>
      </c>
      <c r="S274" s="1">
        <v>1.17</v>
      </c>
      <c r="T274" s="1">
        <f t="shared" si="22"/>
        <v>1.17</v>
      </c>
      <c r="U274" s="12">
        <v>10</v>
      </c>
      <c r="V274" s="13">
        <v>9.2012149999999995</v>
      </c>
      <c r="W274" s="14">
        <f t="shared" si="23"/>
        <v>17439.982910999999</v>
      </c>
      <c r="X274" s="25"/>
      <c r="Y274" s="14">
        <f t="shared" si="25"/>
        <v>17439.982910999999</v>
      </c>
      <c r="Z274" s="3"/>
      <c r="AA274" s="3"/>
      <c r="AB274" s="5"/>
      <c r="AC274" s="1"/>
      <c r="AD274" s="28"/>
      <c r="AE274" s="28"/>
      <c r="AF274" s="3"/>
      <c r="AG274" s="7"/>
      <c r="AH274" s="7"/>
      <c r="AI274" s="3" t="s">
        <v>107</v>
      </c>
      <c r="AJ274" s="7" t="s">
        <v>61</v>
      </c>
      <c r="AK274" s="3"/>
      <c r="AL274" cm="1">
        <f t="array" ref="AL274">IF(getColor(V274) = 16777215, 0, 1)</f>
        <v>0</v>
      </c>
    </row>
    <row r="275" spans="1:38">
      <c r="A275" s="1">
        <v>274</v>
      </c>
      <c r="B275" s="3" t="s">
        <v>27</v>
      </c>
      <c r="C275" s="7" t="s">
        <v>211</v>
      </c>
      <c r="D275" s="7" t="s">
        <v>206</v>
      </c>
      <c r="E275" s="8">
        <v>56.583300000000001</v>
      </c>
      <c r="F275" s="8">
        <v>-133.7833</v>
      </c>
      <c r="G275" s="9" t="s">
        <v>30</v>
      </c>
      <c r="H275" s="3" t="s">
        <v>31</v>
      </c>
      <c r="I275" s="3" t="s">
        <v>31</v>
      </c>
      <c r="J275" s="3" t="s">
        <v>31</v>
      </c>
      <c r="K275" s="7" t="s">
        <v>44</v>
      </c>
      <c r="L275" s="9">
        <v>28</v>
      </c>
      <c r="M275" s="9">
        <v>152</v>
      </c>
      <c r="N275" s="9">
        <f t="shared" si="21"/>
        <v>124</v>
      </c>
      <c r="O275" s="9"/>
      <c r="P275" s="9"/>
      <c r="Q275" s="25"/>
      <c r="R275" s="11">
        <v>0</v>
      </c>
      <c r="S275" s="1">
        <v>1.74</v>
      </c>
      <c r="T275" s="1">
        <f t="shared" si="22"/>
        <v>1.74</v>
      </c>
      <c r="U275" s="12">
        <v>10</v>
      </c>
      <c r="V275" s="13">
        <v>6.0536849999999998</v>
      </c>
      <c r="W275" s="14">
        <f t="shared" si="23"/>
        <v>117552.87680399997</v>
      </c>
      <c r="X275" s="25"/>
      <c r="Y275" s="14">
        <f>IF(L275&gt;-100,W275-W275*(ABS(M275)-100)/(ABS(M275)-ABS(L275)),0)</f>
        <v>68256.509111999985</v>
      </c>
      <c r="Z275" s="3"/>
      <c r="AA275" s="3"/>
      <c r="AB275" s="5"/>
      <c r="AC275" s="1"/>
      <c r="AD275" s="28"/>
      <c r="AE275" s="28"/>
      <c r="AF275" s="3"/>
      <c r="AG275" s="7"/>
      <c r="AH275" s="7"/>
      <c r="AI275" s="3" t="s">
        <v>107</v>
      </c>
      <c r="AJ275" s="7" t="s">
        <v>44</v>
      </c>
      <c r="AK275" s="3"/>
      <c r="AL275" cm="1">
        <f t="array" ref="AL275">IF(getColor(V275) = 16777215, 0, 1)</f>
        <v>0</v>
      </c>
    </row>
    <row r="276" spans="1:38">
      <c r="A276" s="1">
        <v>275</v>
      </c>
      <c r="B276" s="3" t="s">
        <v>27</v>
      </c>
      <c r="C276" s="7" t="s">
        <v>212</v>
      </c>
      <c r="D276" s="7" t="s">
        <v>213</v>
      </c>
      <c r="E276" s="8">
        <v>56.597188888888887</v>
      </c>
      <c r="F276" s="8">
        <v>-133.69999999999999</v>
      </c>
      <c r="G276" s="9" t="s">
        <v>30</v>
      </c>
      <c r="H276" s="3" t="s">
        <v>31</v>
      </c>
      <c r="I276" s="3" t="s">
        <v>31</v>
      </c>
      <c r="J276" s="3" t="s">
        <v>31</v>
      </c>
      <c r="K276" s="7" t="s">
        <v>172</v>
      </c>
      <c r="L276" s="9">
        <v>20</v>
      </c>
      <c r="M276" s="9">
        <v>5</v>
      </c>
      <c r="N276" s="9">
        <f t="shared" si="21"/>
        <v>15</v>
      </c>
      <c r="O276" s="29">
        <f>M281</f>
        <v>102</v>
      </c>
      <c r="P276" s="29">
        <f>L276</f>
        <v>20</v>
      </c>
      <c r="Q276" s="29">
        <f>P276+O276</f>
        <v>122</v>
      </c>
      <c r="R276" s="11">
        <v>0</v>
      </c>
      <c r="S276" s="1">
        <v>0.11</v>
      </c>
      <c r="T276" s="1">
        <f t="shared" si="22"/>
        <v>0.11</v>
      </c>
      <c r="U276" s="29">
        <v>0</v>
      </c>
      <c r="V276" s="31">
        <v>37.79128262471886</v>
      </c>
      <c r="W276" s="14">
        <f t="shared" si="23"/>
        <v>6235.5616330786115</v>
      </c>
      <c r="X276" s="14">
        <f>SUM(W276:W281)</f>
        <v>35813.128769438146</v>
      </c>
      <c r="Y276" s="14">
        <f>T276*V276/100*N276*100*100*((100-U276)/100)</f>
        <v>6235.5616330786115</v>
      </c>
      <c r="Z276" s="15">
        <f>SUM(Y276:Y281)/10^6*10^4</f>
        <v>354.74782811438149</v>
      </c>
      <c r="AA276" s="16">
        <v>71.49169920680464</v>
      </c>
      <c r="AB276" s="5"/>
      <c r="AC276" s="1"/>
      <c r="AD276" s="28"/>
      <c r="AE276" s="28"/>
      <c r="AF276" s="3"/>
      <c r="AG276" s="7"/>
      <c r="AH276" s="7"/>
      <c r="AI276" s="3" t="s">
        <v>59</v>
      </c>
      <c r="AJ276" s="7" t="s">
        <v>172</v>
      </c>
      <c r="AK276" s="3"/>
      <c r="AL276" cm="1">
        <f t="array" ref="AL276">IF(getColor(V276) = 16777215, 0, 1)</f>
        <v>1</v>
      </c>
    </row>
    <row r="277" spans="1:38">
      <c r="A277" s="1">
        <v>276</v>
      </c>
      <c r="B277" s="3" t="s">
        <v>27</v>
      </c>
      <c r="C277" s="7" t="s">
        <v>212</v>
      </c>
      <c r="D277" s="7" t="s">
        <v>213</v>
      </c>
      <c r="E277" s="8">
        <v>56.597188888888887</v>
      </c>
      <c r="F277" s="8">
        <v>-133.69999999999999</v>
      </c>
      <c r="G277" s="9" t="s">
        <v>30</v>
      </c>
      <c r="H277" s="3" t="s">
        <v>31</v>
      </c>
      <c r="I277" s="3" t="s">
        <v>31</v>
      </c>
      <c r="J277" s="3" t="s">
        <v>31</v>
      </c>
      <c r="K277" s="7" t="s">
        <v>173</v>
      </c>
      <c r="L277" s="9">
        <v>5</v>
      </c>
      <c r="M277" s="9">
        <v>0</v>
      </c>
      <c r="N277" s="9">
        <f t="shared" si="21"/>
        <v>5</v>
      </c>
      <c r="O277" s="9"/>
      <c r="P277" s="9"/>
      <c r="Q277" s="25"/>
      <c r="R277" s="11">
        <v>0</v>
      </c>
      <c r="S277" s="1">
        <v>0.11</v>
      </c>
      <c r="T277" s="1">
        <f t="shared" si="22"/>
        <v>0.11</v>
      </c>
      <c r="U277" s="29">
        <v>0</v>
      </c>
      <c r="V277" s="31">
        <v>37.79128262471886</v>
      </c>
      <c r="W277" s="14">
        <f t="shared" si="23"/>
        <v>2078.5205443595369</v>
      </c>
      <c r="X277" s="25"/>
      <c r="Y277" s="14">
        <f>T277*V277/100*N277*100*100*((100-U277)/100)</f>
        <v>2078.5205443595369</v>
      </c>
      <c r="Z277" s="3"/>
      <c r="AA277" s="3"/>
      <c r="AB277" s="5"/>
      <c r="AC277" s="5"/>
      <c r="AD277" s="32"/>
      <c r="AE277" s="32"/>
      <c r="AF277" s="3"/>
      <c r="AG277" s="7"/>
      <c r="AH277" s="7"/>
      <c r="AI277" s="3" t="s">
        <v>59</v>
      </c>
      <c r="AJ277" s="7" t="s">
        <v>173</v>
      </c>
      <c r="AK277" s="3"/>
      <c r="AL277" cm="1">
        <f t="array" ref="AL277">IF(getColor(V277) = 16777215, 0, 1)</f>
        <v>1</v>
      </c>
    </row>
    <row r="278" spans="1:38">
      <c r="A278" s="1">
        <v>277</v>
      </c>
      <c r="B278" s="3" t="s">
        <v>27</v>
      </c>
      <c r="C278" s="7" t="s">
        <v>212</v>
      </c>
      <c r="D278" s="7" t="s">
        <v>213</v>
      </c>
      <c r="E278" s="8">
        <v>56.597188888888887</v>
      </c>
      <c r="F278" s="8">
        <v>-133.69999999999999</v>
      </c>
      <c r="G278" s="9" t="s">
        <v>30</v>
      </c>
      <c r="H278" s="3" t="s">
        <v>31</v>
      </c>
      <c r="I278" s="3" t="s">
        <v>31</v>
      </c>
      <c r="J278" s="3" t="s">
        <v>31</v>
      </c>
      <c r="K278" s="7" t="s">
        <v>87</v>
      </c>
      <c r="L278" s="9">
        <v>0</v>
      </c>
      <c r="M278" s="9">
        <v>5</v>
      </c>
      <c r="N278" s="9">
        <f t="shared" si="21"/>
        <v>5</v>
      </c>
      <c r="O278" s="9"/>
      <c r="P278" s="9"/>
      <c r="Q278" s="25"/>
      <c r="R278" s="11">
        <v>0</v>
      </c>
      <c r="S278" s="1">
        <v>0.93</v>
      </c>
      <c r="T278" s="1">
        <f t="shared" si="22"/>
        <v>0.93</v>
      </c>
      <c r="U278" s="12">
        <v>0</v>
      </c>
      <c r="V278" s="13">
        <v>8.63157</v>
      </c>
      <c r="W278" s="14">
        <f t="shared" si="23"/>
        <v>4013.6800500000008</v>
      </c>
      <c r="X278" s="25"/>
      <c r="Y278" s="14">
        <f>T278*V278/100*N278*100*100*((100-U278)/100)</f>
        <v>4013.6800500000008</v>
      </c>
      <c r="Z278" s="3"/>
      <c r="AA278" s="3"/>
      <c r="AB278" s="5"/>
      <c r="AC278" s="1"/>
      <c r="AD278" s="32"/>
      <c r="AE278" s="32"/>
      <c r="AF278" s="3"/>
      <c r="AG278" s="7"/>
      <c r="AH278" s="7"/>
      <c r="AI278" s="3" t="s">
        <v>59</v>
      </c>
      <c r="AJ278" s="7" t="s">
        <v>87</v>
      </c>
      <c r="AK278" s="3"/>
      <c r="AL278" cm="1">
        <f t="array" ref="AL278">IF(getColor(V278) = 16777215, 0, 1)</f>
        <v>0</v>
      </c>
    </row>
    <row r="279" spans="1:38">
      <c r="A279" s="1">
        <v>278</v>
      </c>
      <c r="B279" s="3" t="s">
        <v>27</v>
      </c>
      <c r="C279" s="7" t="s">
        <v>212</v>
      </c>
      <c r="D279" s="7" t="s">
        <v>213</v>
      </c>
      <c r="E279" s="8">
        <v>56.597188888888887</v>
      </c>
      <c r="F279" s="8">
        <v>-133.69999999999999</v>
      </c>
      <c r="G279" s="9" t="s">
        <v>30</v>
      </c>
      <c r="H279" s="3" t="s">
        <v>31</v>
      </c>
      <c r="I279" s="3" t="s">
        <v>31</v>
      </c>
      <c r="J279" s="3" t="s">
        <v>31</v>
      </c>
      <c r="K279" s="7" t="s">
        <v>77</v>
      </c>
      <c r="L279" s="9">
        <v>5</v>
      </c>
      <c r="M279" s="9">
        <v>23</v>
      </c>
      <c r="N279" s="9">
        <f t="shared" si="21"/>
        <v>18</v>
      </c>
      <c r="O279" s="9"/>
      <c r="P279" s="9"/>
      <c r="Q279" s="25"/>
      <c r="R279" s="11">
        <v>0</v>
      </c>
      <c r="S279" s="1">
        <v>0.86</v>
      </c>
      <c r="T279" s="1">
        <f t="shared" si="22"/>
        <v>0.86</v>
      </c>
      <c r="U279" s="12">
        <v>30</v>
      </c>
      <c r="V279" s="13">
        <v>7.1640100000000002</v>
      </c>
      <c r="W279" s="14">
        <f t="shared" si="23"/>
        <v>7762.9212359999992</v>
      </c>
      <c r="X279" s="25"/>
      <c r="Y279" s="14">
        <f>T279*V279/100*N279*100*100*((100-U279)/100)</f>
        <v>7762.9212359999992</v>
      </c>
      <c r="Z279" s="3"/>
      <c r="AA279" s="3"/>
      <c r="AB279" s="5"/>
      <c r="AC279" s="1"/>
      <c r="AD279" s="28"/>
      <c r="AE279" s="28"/>
      <c r="AF279" s="3"/>
      <c r="AG279" s="7"/>
      <c r="AH279" s="7"/>
      <c r="AI279" s="3" t="s">
        <v>59</v>
      </c>
      <c r="AJ279" s="7" t="s">
        <v>78</v>
      </c>
      <c r="AK279" s="3"/>
      <c r="AL279" cm="1">
        <f t="array" ref="AL279">IF(getColor(V279) = 16777215, 0, 1)</f>
        <v>0</v>
      </c>
    </row>
    <row r="280" spans="1:38">
      <c r="A280" s="1">
        <v>279</v>
      </c>
      <c r="B280" s="3" t="s">
        <v>27</v>
      </c>
      <c r="C280" s="7" t="s">
        <v>212</v>
      </c>
      <c r="D280" s="7" t="s">
        <v>213</v>
      </c>
      <c r="E280" s="8">
        <v>56.597188888888887</v>
      </c>
      <c r="F280" s="8">
        <v>-133.69999999999999</v>
      </c>
      <c r="G280" s="9" t="s">
        <v>30</v>
      </c>
      <c r="H280" s="3" t="s">
        <v>31</v>
      </c>
      <c r="I280" s="3" t="s">
        <v>31</v>
      </c>
      <c r="J280" s="3" t="s">
        <v>31</v>
      </c>
      <c r="K280" s="7" t="s">
        <v>41</v>
      </c>
      <c r="L280" s="9">
        <v>23</v>
      </c>
      <c r="M280" s="9">
        <v>28</v>
      </c>
      <c r="N280" s="9">
        <f t="shared" si="21"/>
        <v>5</v>
      </c>
      <c r="O280" s="9"/>
      <c r="P280" s="9"/>
      <c r="Q280" s="25"/>
      <c r="R280" s="11">
        <v>0</v>
      </c>
      <c r="S280" s="1">
        <v>1.17</v>
      </c>
      <c r="T280" s="1">
        <f t="shared" si="22"/>
        <v>1.17</v>
      </c>
      <c r="U280" s="12">
        <v>20</v>
      </c>
      <c r="V280" s="13">
        <v>6.8453949999999999</v>
      </c>
      <c r="W280" s="14">
        <f t="shared" si="23"/>
        <v>3203.6448600000003</v>
      </c>
      <c r="X280" s="25"/>
      <c r="Y280" s="14">
        <f>T280*V280/100*N280*100*100*((100-U280)/100)</f>
        <v>3203.6448600000003</v>
      </c>
      <c r="Z280" s="3"/>
      <c r="AA280" s="3"/>
      <c r="AB280" s="5"/>
      <c r="AC280" s="1"/>
      <c r="AD280" s="28"/>
      <c r="AE280" s="28"/>
      <c r="AF280" s="3"/>
      <c r="AG280" s="7"/>
      <c r="AH280" s="7"/>
      <c r="AI280" s="3" t="s">
        <v>59</v>
      </c>
      <c r="AJ280" s="7" t="s">
        <v>61</v>
      </c>
      <c r="AK280" s="3"/>
      <c r="AL280" cm="1">
        <f t="array" ref="AL280">IF(getColor(V280) = 16777215, 0, 1)</f>
        <v>0</v>
      </c>
    </row>
    <row r="281" spans="1:38">
      <c r="A281" s="1">
        <v>280</v>
      </c>
      <c r="B281" s="3" t="s">
        <v>27</v>
      </c>
      <c r="C281" s="7" t="s">
        <v>212</v>
      </c>
      <c r="D281" s="7" t="s">
        <v>213</v>
      </c>
      <c r="E281" s="8">
        <v>56.597188888888887</v>
      </c>
      <c r="F281" s="8">
        <v>-133.69999999999999</v>
      </c>
      <c r="G281" s="9" t="s">
        <v>30</v>
      </c>
      <c r="H281" s="3" t="s">
        <v>31</v>
      </c>
      <c r="I281" s="3" t="s">
        <v>31</v>
      </c>
      <c r="J281" s="3" t="s">
        <v>31</v>
      </c>
      <c r="K281" s="7" t="s">
        <v>44</v>
      </c>
      <c r="L281" s="9">
        <v>28</v>
      </c>
      <c r="M281" s="9">
        <v>102</v>
      </c>
      <c r="N281" s="9">
        <f t="shared" si="21"/>
        <v>74</v>
      </c>
      <c r="O281" s="9"/>
      <c r="P281" s="9"/>
      <c r="Q281" s="25"/>
      <c r="R281" s="11">
        <v>0</v>
      </c>
      <c r="S281" s="1">
        <v>1.74</v>
      </c>
      <c r="T281" s="1">
        <f t="shared" si="22"/>
        <v>1.74</v>
      </c>
      <c r="U281" s="12">
        <v>5</v>
      </c>
      <c r="V281" s="13">
        <v>1.0234300000000001</v>
      </c>
      <c r="W281" s="14">
        <f t="shared" si="23"/>
        <v>12518.800446000001</v>
      </c>
      <c r="X281" s="25"/>
      <c r="Y281" s="14">
        <f>IF(L281&gt;-100,W281-W281*(ABS(M281)-100)/(ABS(M281)-ABS(L281)),0)</f>
        <v>12180.454488000001</v>
      </c>
      <c r="Z281" s="3"/>
      <c r="AA281" s="3"/>
      <c r="AB281" s="5"/>
      <c r="AC281" s="1"/>
      <c r="AD281" s="28"/>
      <c r="AE281" s="28"/>
      <c r="AF281" s="3"/>
      <c r="AG281" s="7"/>
      <c r="AH281" s="7"/>
      <c r="AI281" s="3" t="s">
        <v>59</v>
      </c>
      <c r="AJ281" s="7" t="s">
        <v>44</v>
      </c>
      <c r="AK281" s="3"/>
      <c r="AL281" cm="1">
        <f t="array" ref="AL281">IF(getColor(V281) = 16777215, 0, 1)</f>
        <v>0</v>
      </c>
    </row>
    <row r="282" spans="1:38">
      <c r="A282" s="1">
        <v>281</v>
      </c>
      <c r="B282" s="3" t="s">
        <v>27</v>
      </c>
      <c r="C282" s="7" t="s">
        <v>214</v>
      </c>
      <c r="D282" s="7" t="s">
        <v>215</v>
      </c>
      <c r="E282" s="8">
        <v>56.7</v>
      </c>
      <c r="F282" s="8">
        <v>-134.24441111111113</v>
      </c>
      <c r="G282" s="9" t="s">
        <v>30</v>
      </c>
      <c r="H282" s="3" t="s">
        <v>31</v>
      </c>
      <c r="I282" s="3" t="s">
        <v>31</v>
      </c>
      <c r="J282" s="3" t="s">
        <v>31</v>
      </c>
      <c r="K282" s="7" t="s">
        <v>172</v>
      </c>
      <c r="L282" s="9">
        <v>10</v>
      </c>
      <c r="M282" s="9">
        <v>8</v>
      </c>
      <c r="N282" s="9">
        <f t="shared" si="21"/>
        <v>2</v>
      </c>
      <c r="O282" s="29">
        <f>M289</f>
        <v>142</v>
      </c>
      <c r="P282" s="29">
        <f>L282</f>
        <v>10</v>
      </c>
      <c r="Q282" s="29">
        <f>P282+O282</f>
        <v>152</v>
      </c>
      <c r="R282" s="11">
        <v>0</v>
      </c>
      <c r="S282" s="1">
        <v>0.14000000000000001</v>
      </c>
      <c r="T282" s="1">
        <f t="shared" si="22"/>
        <v>0.14000000000000001</v>
      </c>
      <c r="U282" s="29">
        <v>0</v>
      </c>
      <c r="V282" s="31">
        <v>37.79128262471886</v>
      </c>
      <c r="W282" s="14">
        <f t="shared" si="23"/>
        <v>1058.1559134921281</v>
      </c>
      <c r="X282" s="14">
        <f>SUM(W282:W289)</f>
        <v>47132.054457460639</v>
      </c>
      <c r="Y282" s="14">
        <f t="shared" ref="Y282:Y288" si="26">T282*V282/100*N282*100*100*((100-U282)/100)</f>
        <v>1058.1559134921281</v>
      </c>
      <c r="Z282" s="15">
        <f>SUM(Y282:Y289)/10^6*10^4</f>
        <v>395.41718277460632</v>
      </c>
      <c r="AA282" s="16">
        <v>48.460571363620176</v>
      </c>
      <c r="AB282" s="5"/>
      <c r="AC282" s="1"/>
      <c r="AD282" s="28"/>
      <c r="AE282" s="28"/>
      <c r="AF282" s="3"/>
      <c r="AG282" s="7"/>
      <c r="AH282" s="7"/>
      <c r="AI282" s="3" t="s">
        <v>75</v>
      </c>
      <c r="AJ282" s="7" t="s">
        <v>172</v>
      </c>
      <c r="AK282" s="3"/>
      <c r="AL282" cm="1">
        <f t="array" ref="AL282">IF(getColor(V282) = 16777215, 0, 1)</f>
        <v>1</v>
      </c>
    </row>
    <row r="283" spans="1:38">
      <c r="A283" s="1">
        <v>282</v>
      </c>
      <c r="B283" s="3" t="s">
        <v>27</v>
      </c>
      <c r="C283" s="7" t="s">
        <v>214</v>
      </c>
      <c r="D283" s="7" t="s">
        <v>215</v>
      </c>
      <c r="E283" s="8">
        <v>56.7</v>
      </c>
      <c r="F283" s="8">
        <v>-134.24441111111113</v>
      </c>
      <c r="G283" s="9" t="s">
        <v>30</v>
      </c>
      <c r="H283" s="3" t="s">
        <v>31</v>
      </c>
      <c r="I283" s="3" t="s">
        <v>31</v>
      </c>
      <c r="J283" s="3" t="s">
        <v>31</v>
      </c>
      <c r="K283" s="7" t="s">
        <v>173</v>
      </c>
      <c r="L283" s="9">
        <v>8</v>
      </c>
      <c r="M283" s="9">
        <v>0</v>
      </c>
      <c r="N283" s="9">
        <f t="shared" si="21"/>
        <v>8</v>
      </c>
      <c r="O283" s="9"/>
      <c r="P283" s="9"/>
      <c r="Q283" s="25"/>
      <c r="R283" s="11">
        <v>0</v>
      </c>
      <c r="S283" s="1">
        <v>0.14000000000000001</v>
      </c>
      <c r="T283" s="1">
        <f t="shared" si="22"/>
        <v>0.14000000000000001</v>
      </c>
      <c r="U283" s="29">
        <v>0</v>
      </c>
      <c r="V283" s="31">
        <v>37.79128262471886</v>
      </c>
      <c r="W283" s="14">
        <f t="shared" si="23"/>
        <v>4232.6236539685124</v>
      </c>
      <c r="X283" s="25"/>
      <c r="Y283" s="14">
        <f t="shared" si="26"/>
        <v>4232.6236539685124</v>
      </c>
      <c r="Z283" s="3"/>
      <c r="AA283" s="3"/>
      <c r="AB283" s="5"/>
      <c r="AC283" s="5"/>
      <c r="AD283" s="32"/>
      <c r="AE283" s="32"/>
      <c r="AF283" s="3"/>
      <c r="AG283" s="7"/>
      <c r="AH283" s="7"/>
      <c r="AI283" s="3" t="s">
        <v>75</v>
      </c>
      <c r="AJ283" s="7" t="s">
        <v>173</v>
      </c>
      <c r="AK283" s="3"/>
      <c r="AL283" cm="1">
        <f t="array" ref="AL283">IF(getColor(V283) = 16777215, 0, 1)</f>
        <v>1</v>
      </c>
    </row>
    <row r="284" spans="1:38">
      <c r="A284" s="1">
        <v>283</v>
      </c>
      <c r="B284" s="3" t="s">
        <v>27</v>
      </c>
      <c r="C284" s="7" t="s">
        <v>214</v>
      </c>
      <c r="D284" s="7" t="s">
        <v>215</v>
      </c>
      <c r="E284" s="8">
        <v>56.7</v>
      </c>
      <c r="F284" s="8">
        <v>-134.24441111111113</v>
      </c>
      <c r="G284" s="9" t="s">
        <v>30</v>
      </c>
      <c r="H284" s="3" t="s">
        <v>31</v>
      </c>
      <c r="I284" s="3" t="s">
        <v>31</v>
      </c>
      <c r="J284" s="3" t="s">
        <v>31</v>
      </c>
      <c r="K284" s="7" t="s">
        <v>47</v>
      </c>
      <c r="L284" s="9">
        <v>0</v>
      </c>
      <c r="M284" s="9">
        <v>3</v>
      </c>
      <c r="N284" s="9">
        <f t="shared" si="21"/>
        <v>3</v>
      </c>
      <c r="O284" s="9"/>
      <c r="P284" s="9"/>
      <c r="Q284" s="25"/>
      <c r="R284" s="11">
        <v>0</v>
      </c>
      <c r="S284" s="1">
        <v>1.31</v>
      </c>
      <c r="T284" s="1">
        <f t="shared" si="22"/>
        <v>1.31</v>
      </c>
      <c r="U284" s="12">
        <v>0</v>
      </c>
      <c r="V284" s="13">
        <v>5.6674850000000001</v>
      </c>
      <c r="W284" s="14">
        <f t="shared" si="23"/>
        <v>2227.3216049999996</v>
      </c>
      <c r="X284" s="25"/>
      <c r="Y284" s="14">
        <f t="shared" si="26"/>
        <v>2227.3216049999996</v>
      </c>
      <c r="Z284" s="3"/>
      <c r="AA284" s="3"/>
      <c r="AB284" s="5"/>
      <c r="AC284" s="1"/>
      <c r="AD284" s="32"/>
      <c r="AE284" s="32"/>
      <c r="AF284" s="3"/>
      <c r="AG284" s="7"/>
      <c r="AH284" s="7"/>
      <c r="AI284" s="3" t="s">
        <v>75</v>
      </c>
      <c r="AJ284" s="7" t="s">
        <v>47</v>
      </c>
      <c r="AK284" s="3"/>
      <c r="AL284" cm="1">
        <f t="array" ref="AL284">IF(getColor(V284) = 16777215, 0, 1)</f>
        <v>0</v>
      </c>
    </row>
    <row r="285" spans="1:38">
      <c r="A285" s="1">
        <v>284</v>
      </c>
      <c r="B285" s="3" t="s">
        <v>27</v>
      </c>
      <c r="C285" s="7" t="s">
        <v>214</v>
      </c>
      <c r="D285" s="7" t="s">
        <v>215</v>
      </c>
      <c r="E285" s="8">
        <v>56.7</v>
      </c>
      <c r="F285" s="8">
        <v>-134.24441111111113</v>
      </c>
      <c r="G285" s="9" t="s">
        <v>30</v>
      </c>
      <c r="H285" s="3" t="s">
        <v>31</v>
      </c>
      <c r="I285" s="3" t="s">
        <v>31</v>
      </c>
      <c r="J285" s="3" t="s">
        <v>31</v>
      </c>
      <c r="K285" s="7" t="s">
        <v>68</v>
      </c>
      <c r="L285" s="9">
        <v>3</v>
      </c>
      <c r="M285" s="9">
        <v>8</v>
      </c>
      <c r="N285" s="9">
        <f t="shared" si="21"/>
        <v>5</v>
      </c>
      <c r="O285" s="9"/>
      <c r="P285" s="9"/>
      <c r="Q285" s="25"/>
      <c r="R285" s="11">
        <v>0</v>
      </c>
      <c r="S285" s="1">
        <v>1.19</v>
      </c>
      <c r="T285" s="1">
        <f t="shared" si="22"/>
        <v>1.19</v>
      </c>
      <c r="U285" s="12">
        <v>0</v>
      </c>
      <c r="V285" s="13">
        <v>9.3750050000000016</v>
      </c>
      <c r="W285" s="14">
        <f t="shared" si="23"/>
        <v>5578.1279750000012</v>
      </c>
      <c r="X285" s="25"/>
      <c r="Y285" s="14">
        <f t="shared" si="26"/>
        <v>5578.1279750000012</v>
      </c>
      <c r="Z285" s="3"/>
      <c r="AA285" s="3"/>
      <c r="AB285" s="5"/>
      <c r="AC285" s="1"/>
      <c r="AD285" s="28"/>
      <c r="AE285" s="28"/>
      <c r="AF285" s="3"/>
      <c r="AG285" s="7"/>
      <c r="AH285" s="7"/>
      <c r="AI285" s="3" t="s">
        <v>75</v>
      </c>
      <c r="AJ285" s="7" t="s">
        <v>68</v>
      </c>
      <c r="AK285" s="3"/>
      <c r="AL285" cm="1">
        <f t="array" ref="AL285">IF(getColor(V285) = 16777215, 0, 1)</f>
        <v>0</v>
      </c>
    </row>
    <row r="286" spans="1:38">
      <c r="A286" s="1">
        <v>285</v>
      </c>
      <c r="B286" s="3" t="s">
        <v>27</v>
      </c>
      <c r="C286" s="7" t="s">
        <v>214</v>
      </c>
      <c r="D286" s="7" t="s">
        <v>215</v>
      </c>
      <c r="E286" s="8">
        <v>56.7</v>
      </c>
      <c r="F286" s="8">
        <v>-134.24441111111113</v>
      </c>
      <c r="G286" s="9" t="s">
        <v>30</v>
      </c>
      <c r="H286" s="3" t="s">
        <v>31</v>
      </c>
      <c r="I286" s="3" t="s">
        <v>31</v>
      </c>
      <c r="J286" s="3" t="s">
        <v>31</v>
      </c>
      <c r="K286" s="7" t="s">
        <v>175</v>
      </c>
      <c r="L286" s="9">
        <v>8</v>
      </c>
      <c r="M286" s="9">
        <v>23</v>
      </c>
      <c r="N286" s="9">
        <f t="shared" si="21"/>
        <v>15</v>
      </c>
      <c r="O286" s="9"/>
      <c r="P286" s="9"/>
      <c r="Q286" s="25"/>
      <c r="R286" s="11">
        <v>0</v>
      </c>
      <c r="S286" s="1">
        <v>1.19</v>
      </c>
      <c r="T286" s="1">
        <f t="shared" si="22"/>
        <v>1.19</v>
      </c>
      <c r="U286" s="12">
        <v>5</v>
      </c>
      <c r="V286" s="13">
        <v>6.0633400000000002</v>
      </c>
      <c r="W286" s="14">
        <f t="shared" si="23"/>
        <v>10281.908804999999</v>
      </c>
      <c r="X286" s="25"/>
      <c r="Y286" s="14">
        <f t="shared" si="26"/>
        <v>10281.908804999999</v>
      </c>
      <c r="Z286" s="3"/>
      <c r="AA286" s="3"/>
      <c r="AB286" s="5"/>
      <c r="AC286" s="1"/>
      <c r="AD286" s="28"/>
      <c r="AE286" s="28"/>
      <c r="AF286" s="3"/>
      <c r="AG286" s="7"/>
      <c r="AH286" s="7"/>
      <c r="AI286" s="3" t="s">
        <v>75</v>
      </c>
      <c r="AJ286" s="7" t="s">
        <v>175</v>
      </c>
      <c r="AK286" s="3"/>
      <c r="AL286" cm="1">
        <f t="array" ref="AL286">IF(getColor(V286) = 16777215, 0, 1)</f>
        <v>0</v>
      </c>
    </row>
    <row r="287" spans="1:38">
      <c r="A287" s="1">
        <v>286</v>
      </c>
      <c r="B287" s="3" t="s">
        <v>27</v>
      </c>
      <c r="C287" s="7" t="s">
        <v>214</v>
      </c>
      <c r="D287" s="7" t="s">
        <v>215</v>
      </c>
      <c r="E287" s="8">
        <v>56.7</v>
      </c>
      <c r="F287" s="8">
        <v>-134.24441111111113</v>
      </c>
      <c r="G287" s="9" t="s">
        <v>30</v>
      </c>
      <c r="H287" s="3" t="s">
        <v>31</v>
      </c>
      <c r="I287" s="3" t="s">
        <v>31</v>
      </c>
      <c r="J287" s="3" t="s">
        <v>31</v>
      </c>
      <c r="K287" s="7" t="s">
        <v>63</v>
      </c>
      <c r="L287" s="9">
        <v>23</v>
      </c>
      <c r="M287" s="9">
        <v>36</v>
      </c>
      <c r="N287" s="9">
        <f t="shared" si="21"/>
        <v>13</v>
      </c>
      <c r="O287" s="9"/>
      <c r="P287" s="9"/>
      <c r="Q287" s="25"/>
      <c r="R287" s="11">
        <v>0</v>
      </c>
      <c r="S287" s="1">
        <v>1.91</v>
      </c>
      <c r="T287" s="1">
        <f t="shared" si="22"/>
        <v>1.91</v>
      </c>
      <c r="U287" s="12">
        <v>0</v>
      </c>
      <c r="V287" s="13">
        <v>1.2648050000000002</v>
      </c>
      <c r="W287" s="14">
        <f t="shared" si="23"/>
        <v>3140.5108150000001</v>
      </c>
      <c r="X287" s="25"/>
      <c r="Y287" s="14">
        <f t="shared" si="26"/>
        <v>3140.5108150000001</v>
      </c>
      <c r="Z287" s="3"/>
      <c r="AA287" s="3"/>
      <c r="AB287" s="5"/>
      <c r="AC287" s="1"/>
      <c r="AD287" s="28"/>
      <c r="AE287" s="28"/>
      <c r="AF287" s="3"/>
      <c r="AG287" s="7"/>
      <c r="AH287" s="7"/>
      <c r="AI287" s="3" t="s">
        <v>75</v>
      </c>
      <c r="AJ287" s="7" t="s">
        <v>63</v>
      </c>
      <c r="AK287" s="3"/>
      <c r="AL287" cm="1">
        <f t="array" ref="AL287">IF(getColor(V287) = 16777215, 0, 1)</f>
        <v>0</v>
      </c>
    </row>
    <row r="288" spans="1:38">
      <c r="A288" s="1">
        <v>287</v>
      </c>
      <c r="B288" s="3" t="s">
        <v>27</v>
      </c>
      <c r="C288" s="7" t="s">
        <v>214</v>
      </c>
      <c r="D288" s="7" t="s">
        <v>215</v>
      </c>
      <c r="E288" s="8">
        <v>56.7</v>
      </c>
      <c r="F288" s="8">
        <v>-134.24441111111113</v>
      </c>
      <c r="G288" s="9" t="s">
        <v>30</v>
      </c>
      <c r="H288" s="3" t="s">
        <v>31</v>
      </c>
      <c r="I288" s="3" t="s">
        <v>31</v>
      </c>
      <c r="J288" s="3" t="s">
        <v>31</v>
      </c>
      <c r="K288" s="7" t="s">
        <v>64</v>
      </c>
      <c r="L288" s="9">
        <v>36</v>
      </c>
      <c r="M288" s="9">
        <v>46</v>
      </c>
      <c r="N288" s="9">
        <f t="shared" si="21"/>
        <v>10</v>
      </c>
      <c r="O288" s="9"/>
      <c r="P288" s="9"/>
      <c r="Q288" s="25"/>
      <c r="R288" s="11">
        <v>0</v>
      </c>
      <c r="S288" s="1">
        <v>1.91</v>
      </c>
      <c r="T288" s="1">
        <f t="shared" si="22"/>
        <v>1.91</v>
      </c>
      <c r="U288" s="12">
        <v>25</v>
      </c>
      <c r="V288" s="13">
        <v>2.2785799999999998</v>
      </c>
      <c r="W288" s="14">
        <f t="shared" si="23"/>
        <v>3264.0658499999995</v>
      </c>
      <c r="X288" s="25"/>
      <c r="Y288" s="14">
        <f t="shared" si="26"/>
        <v>3264.0658499999995</v>
      </c>
      <c r="Z288" s="3"/>
      <c r="AA288" s="3"/>
      <c r="AB288" s="5"/>
      <c r="AC288" s="1"/>
      <c r="AD288" s="28"/>
      <c r="AE288" s="28"/>
      <c r="AF288" s="3"/>
      <c r="AG288" s="7"/>
      <c r="AH288" s="7"/>
      <c r="AI288" s="3" t="s">
        <v>75</v>
      </c>
      <c r="AJ288" s="7" t="s">
        <v>64</v>
      </c>
      <c r="AK288" s="3"/>
      <c r="AL288" cm="1">
        <f t="array" ref="AL288">IF(getColor(V288) = 16777215, 0, 1)</f>
        <v>0</v>
      </c>
    </row>
    <row r="289" spans="1:38">
      <c r="A289" s="1">
        <v>288</v>
      </c>
      <c r="B289" s="3" t="s">
        <v>27</v>
      </c>
      <c r="C289" s="7" t="s">
        <v>214</v>
      </c>
      <c r="D289" s="7" t="s">
        <v>215</v>
      </c>
      <c r="E289" s="8">
        <v>56.7</v>
      </c>
      <c r="F289" s="8">
        <v>-134.24441111111113</v>
      </c>
      <c r="G289" s="9" t="s">
        <v>30</v>
      </c>
      <c r="H289" s="3" t="s">
        <v>31</v>
      </c>
      <c r="I289" s="3" t="s">
        <v>31</v>
      </c>
      <c r="J289" s="3" t="s">
        <v>31</v>
      </c>
      <c r="K289" s="7" t="s">
        <v>114</v>
      </c>
      <c r="L289" s="9">
        <v>46</v>
      </c>
      <c r="M289" s="9">
        <v>142</v>
      </c>
      <c r="N289" s="9">
        <f t="shared" si="21"/>
        <v>96</v>
      </c>
      <c r="O289" s="9"/>
      <c r="P289" s="9"/>
      <c r="Q289" s="25"/>
      <c r="R289" s="11">
        <v>0</v>
      </c>
      <c r="S289" s="1">
        <v>1.91</v>
      </c>
      <c r="T289" s="1">
        <f t="shared" si="22"/>
        <v>1.91</v>
      </c>
      <c r="U289" s="12">
        <v>0</v>
      </c>
      <c r="V289" s="13">
        <v>0.94618999999999998</v>
      </c>
      <c r="W289" s="14">
        <f t="shared" si="23"/>
        <v>17349.339840000001</v>
      </c>
      <c r="X289" s="25"/>
      <c r="Y289" s="14">
        <f>IF(L289&gt;-100,W289-W289*(ABS(M289)-100)/(ABS(M289)-ABS(L289)),0)</f>
        <v>9759.0036599999985</v>
      </c>
      <c r="Z289" s="3"/>
      <c r="AA289" s="3"/>
      <c r="AB289" s="5"/>
      <c r="AC289" s="1"/>
      <c r="AD289" s="28"/>
      <c r="AE289" s="28"/>
      <c r="AF289" s="3"/>
      <c r="AG289" s="7"/>
      <c r="AH289" s="7"/>
      <c r="AI289" s="3" t="s">
        <v>75</v>
      </c>
      <c r="AJ289" s="7" t="s">
        <v>114</v>
      </c>
      <c r="AK289" s="3"/>
      <c r="AL289" cm="1">
        <f t="array" ref="AL289">IF(getColor(V289) = 16777215, 0, 1)</f>
        <v>0</v>
      </c>
    </row>
    <row r="290" spans="1:38">
      <c r="A290" s="1">
        <v>289</v>
      </c>
      <c r="B290" s="3" t="s">
        <v>27</v>
      </c>
      <c r="C290" s="7" t="s">
        <v>216</v>
      </c>
      <c r="D290" s="7" t="s">
        <v>217</v>
      </c>
      <c r="E290" s="8">
        <v>56.756944444444443</v>
      </c>
      <c r="F290" s="8">
        <v>-133.91659999999999</v>
      </c>
      <c r="G290" s="9" t="s">
        <v>30</v>
      </c>
      <c r="H290" s="3" t="s">
        <v>31</v>
      </c>
      <c r="I290" s="3" t="s">
        <v>31</v>
      </c>
      <c r="J290" s="3" t="s">
        <v>31</v>
      </c>
      <c r="K290" s="7" t="s">
        <v>53</v>
      </c>
      <c r="L290" s="9">
        <v>8</v>
      </c>
      <c r="M290" s="9">
        <v>0</v>
      </c>
      <c r="N290" s="9">
        <f t="shared" si="21"/>
        <v>8</v>
      </c>
      <c r="O290" s="29">
        <f>M294</f>
        <v>71</v>
      </c>
      <c r="P290" s="29">
        <f>L290</f>
        <v>8</v>
      </c>
      <c r="Q290" s="29">
        <f>P290+O290</f>
        <v>79</v>
      </c>
      <c r="R290" s="11">
        <v>0</v>
      </c>
      <c r="S290" s="1">
        <v>0.11</v>
      </c>
      <c r="T290" s="1">
        <f t="shared" si="22"/>
        <v>0.11</v>
      </c>
      <c r="U290" s="12">
        <v>0</v>
      </c>
      <c r="V290" s="31">
        <v>37.79128262471886</v>
      </c>
      <c r="W290" s="14">
        <f t="shared" si="23"/>
        <v>3325.6328709752593</v>
      </c>
      <c r="X290" s="14">
        <f>SUM(W290:W294)</f>
        <v>29630.496636325264</v>
      </c>
      <c r="Y290" s="14">
        <f t="shared" ref="Y290:Y303" si="27">T290*V290/100*N290*100*100*((100-U290)/100)</f>
        <v>3325.6328709752593</v>
      </c>
      <c r="Z290" s="15">
        <f>SUM(Y290:Y294)/10^6*10^4</f>
        <v>296.30496636325262</v>
      </c>
      <c r="AA290" s="16">
        <v>45.554086321317534</v>
      </c>
      <c r="AB290" s="5"/>
      <c r="AC290" s="1"/>
      <c r="AD290" s="28"/>
      <c r="AE290" s="28"/>
      <c r="AF290" s="3"/>
      <c r="AG290" s="7"/>
      <c r="AH290" s="7"/>
      <c r="AI290" s="3" t="s">
        <v>59</v>
      </c>
      <c r="AJ290" s="7" t="s">
        <v>53</v>
      </c>
      <c r="AK290" s="3"/>
      <c r="AL290" cm="1">
        <f t="array" ref="AL290">IF(getColor(V290) = 16777215, 0, 1)</f>
        <v>1</v>
      </c>
    </row>
    <row r="291" spans="1:38">
      <c r="A291" s="1">
        <v>290</v>
      </c>
      <c r="B291" s="3" t="s">
        <v>27</v>
      </c>
      <c r="C291" s="7" t="s">
        <v>216</v>
      </c>
      <c r="D291" s="7" t="s">
        <v>217</v>
      </c>
      <c r="E291" s="8">
        <v>56.756944444444443</v>
      </c>
      <c r="F291" s="8">
        <v>-133.91659999999999</v>
      </c>
      <c r="G291" s="9" t="s">
        <v>30</v>
      </c>
      <c r="H291" s="3" t="s">
        <v>31</v>
      </c>
      <c r="I291" s="3" t="s">
        <v>31</v>
      </c>
      <c r="J291" s="3" t="s">
        <v>31</v>
      </c>
      <c r="K291" s="7" t="s">
        <v>207</v>
      </c>
      <c r="L291" s="9">
        <v>0</v>
      </c>
      <c r="M291" s="9">
        <v>18</v>
      </c>
      <c r="N291" s="9">
        <f t="shared" si="21"/>
        <v>18</v>
      </c>
      <c r="O291" s="9"/>
      <c r="P291" s="9"/>
      <c r="Q291" s="25"/>
      <c r="R291" s="11">
        <v>0</v>
      </c>
      <c r="S291" s="1">
        <v>0.93</v>
      </c>
      <c r="T291" s="1">
        <f t="shared" si="22"/>
        <v>0.93</v>
      </c>
      <c r="U291" s="12">
        <v>19</v>
      </c>
      <c r="V291" s="13">
        <v>8.3805399999999999</v>
      </c>
      <c r="W291" s="14">
        <f t="shared" si="23"/>
        <v>11363.509407600004</v>
      </c>
      <c r="X291" s="25"/>
      <c r="Y291" s="14">
        <f t="shared" si="27"/>
        <v>11363.509407600004</v>
      </c>
      <c r="Z291" s="3"/>
      <c r="AA291" s="3"/>
      <c r="AB291" s="5"/>
      <c r="AC291" s="5"/>
      <c r="AD291" s="28"/>
      <c r="AE291" s="32"/>
      <c r="AF291" s="3"/>
      <c r="AG291" s="7"/>
      <c r="AH291" s="7"/>
      <c r="AI291" s="3" t="s">
        <v>59</v>
      </c>
      <c r="AJ291" s="7" t="s">
        <v>207</v>
      </c>
      <c r="AK291" s="3"/>
      <c r="AL291" cm="1">
        <f t="array" ref="AL291">IF(getColor(V291) = 16777215, 0, 1)</f>
        <v>0</v>
      </c>
    </row>
    <row r="292" spans="1:38">
      <c r="A292" s="1">
        <v>291</v>
      </c>
      <c r="B292" s="3" t="s">
        <v>27</v>
      </c>
      <c r="C292" s="7" t="s">
        <v>216</v>
      </c>
      <c r="D292" s="7" t="s">
        <v>217</v>
      </c>
      <c r="E292" s="8">
        <v>56.756944444444443</v>
      </c>
      <c r="F292" s="8">
        <v>-133.91659999999999</v>
      </c>
      <c r="G292" s="9" t="s">
        <v>30</v>
      </c>
      <c r="H292" s="3" t="s">
        <v>31</v>
      </c>
      <c r="I292" s="3" t="s">
        <v>31</v>
      </c>
      <c r="J292" s="3" t="s">
        <v>31</v>
      </c>
      <c r="K292" s="7" t="s">
        <v>208</v>
      </c>
      <c r="L292" s="9">
        <v>18</v>
      </c>
      <c r="M292" s="9">
        <v>36</v>
      </c>
      <c r="N292" s="9">
        <f t="shared" si="21"/>
        <v>18</v>
      </c>
      <c r="O292" s="9"/>
      <c r="P292" s="9"/>
      <c r="Q292" s="25"/>
      <c r="R292" s="11">
        <v>0</v>
      </c>
      <c r="S292" s="1">
        <v>0.93</v>
      </c>
      <c r="T292" s="1">
        <f t="shared" si="22"/>
        <v>0.93</v>
      </c>
      <c r="U292" s="12">
        <v>40</v>
      </c>
      <c r="V292" s="13">
        <v>6.8357400000000004</v>
      </c>
      <c r="W292" s="14">
        <f t="shared" si="23"/>
        <v>6865.8172559999994</v>
      </c>
      <c r="X292" s="25"/>
      <c r="Y292" s="14">
        <f t="shared" si="27"/>
        <v>6865.8172559999994</v>
      </c>
      <c r="Z292" s="3"/>
      <c r="AA292" s="3"/>
      <c r="AB292" s="5"/>
      <c r="AC292" s="1"/>
      <c r="AD292" s="28"/>
      <c r="AE292" s="28"/>
      <c r="AF292" s="3"/>
      <c r="AG292" s="7"/>
      <c r="AH292" s="7"/>
      <c r="AI292" s="3" t="s">
        <v>59</v>
      </c>
      <c r="AJ292" s="7" t="s">
        <v>208</v>
      </c>
      <c r="AK292" s="3"/>
      <c r="AL292" cm="1">
        <f t="array" ref="AL292">IF(getColor(V292) = 16777215, 0, 1)</f>
        <v>0</v>
      </c>
    </row>
    <row r="293" spans="1:38">
      <c r="A293" s="1">
        <v>292</v>
      </c>
      <c r="B293" s="3" t="s">
        <v>27</v>
      </c>
      <c r="C293" s="7" t="s">
        <v>216</v>
      </c>
      <c r="D293" s="7" t="s">
        <v>217</v>
      </c>
      <c r="E293" s="8">
        <v>56.756944444444443</v>
      </c>
      <c r="F293" s="8">
        <v>-133.91659999999999</v>
      </c>
      <c r="G293" s="9" t="s">
        <v>30</v>
      </c>
      <c r="H293" s="3" t="s">
        <v>31</v>
      </c>
      <c r="I293" s="3" t="s">
        <v>31</v>
      </c>
      <c r="J293" s="3" t="s">
        <v>31</v>
      </c>
      <c r="K293" s="7" t="s">
        <v>77</v>
      </c>
      <c r="L293" s="9">
        <v>36</v>
      </c>
      <c r="M293" s="9">
        <v>58</v>
      </c>
      <c r="N293" s="9">
        <f t="shared" si="21"/>
        <v>22</v>
      </c>
      <c r="O293" s="9"/>
      <c r="P293" s="9"/>
      <c r="Q293" s="25"/>
      <c r="R293" s="11">
        <v>0</v>
      </c>
      <c r="S293" s="1">
        <v>0.86</v>
      </c>
      <c r="T293" s="1">
        <f t="shared" si="22"/>
        <v>0.86</v>
      </c>
      <c r="U293" s="12">
        <v>65</v>
      </c>
      <c r="V293" s="13">
        <v>7.2219400000000009</v>
      </c>
      <c r="W293" s="14">
        <f t="shared" si="23"/>
        <v>4782.3686680000001</v>
      </c>
      <c r="X293" s="25"/>
      <c r="Y293" s="14">
        <f t="shared" si="27"/>
        <v>4782.3686680000001</v>
      </c>
      <c r="Z293" s="3"/>
      <c r="AA293" s="3"/>
      <c r="AB293" s="5"/>
      <c r="AC293" s="1"/>
      <c r="AD293" s="28"/>
      <c r="AE293" s="28"/>
      <c r="AF293" s="3"/>
      <c r="AG293" s="7"/>
      <c r="AH293" s="7"/>
      <c r="AI293" s="3" t="s">
        <v>59</v>
      </c>
      <c r="AJ293" s="7" t="s">
        <v>78</v>
      </c>
      <c r="AK293" s="3"/>
      <c r="AL293" cm="1">
        <f t="array" ref="AL293">IF(getColor(V293) = 16777215, 0, 1)</f>
        <v>0</v>
      </c>
    </row>
    <row r="294" spans="1:38">
      <c r="A294" s="1">
        <v>293</v>
      </c>
      <c r="B294" s="3" t="s">
        <v>27</v>
      </c>
      <c r="C294" s="7" t="s">
        <v>216</v>
      </c>
      <c r="D294" s="7" t="s">
        <v>217</v>
      </c>
      <c r="E294" s="8">
        <v>56.756944444444443</v>
      </c>
      <c r="F294" s="8">
        <v>-133.91659999999999</v>
      </c>
      <c r="G294" s="9" t="s">
        <v>30</v>
      </c>
      <c r="H294" s="3" t="s">
        <v>31</v>
      </c>
      <c r="I294" s="3" t="s">
        <v>31</v>
      </c>
      <c r="J294" s="3" t="s">
        <v>31</v>
      </c>
      <c r="K294" s="7" t="s">
        <v>41</v>
      </c>
      <c r="L294" s="9">
        <v>58</v>
      </c>
      <c r="M294" s="9">
        <v>71</v>
      </c>
      <c r="N294" s="9">
        <f t="shared" si="21"/>
        <v>13</v>
      </c>
      <c r="O294" s="9"/>
      <c r="P294" s="9"/>
      <c r="Q294" s="25"/>
      <c r="R294" s="11">
        <v>0</v>
      </c>
      <c r="S294" s="1">
        <v>1.17</v>
      </c>
      <c r="T294" s="1">
        <f t="shared" si="22"/>
        <v>1.17</v>
      </c>
      <c r="U294" s="12">
        <v>75</v>
      </c>
      <c r="V294" s="13">
        <v>8.6605350000000012</v>
      </c>
      <c r="W294" s="14">
        <f t="shared" si="23"/>
        <v>3293.1684337500001</v>
      </c>
      <c r="X294" s="25"/>
      <c r="Y294" s="14">
        <f t="shared" si="27"/>
        <v>3293.1684337500001</v>
      </c>
      <c r="Z294" s="3"/>
      <c r="AA294" s="3"/>
      <c r="AB294" s="5"/>
      <c r="AC294" s="1"/>
      <c r="AD294" s="28"/>
      <c r="AE294" s="28"/>
      <c r="AF294" s="3"/>
      <c r="AG294" s="7"/>
      <c r="AH294" s="7"/>
      <c r="AI294" s="3" t="s">
        <v>59</v>
      </c>
      <c r="AJ294" s="7" t="s">
        <v>61</v>
      </c>
      <c r="AK294" s="3"/>
      <c r="AL294" cm="1">
        <f t="array" ref="AL294">IF(getColor(V294) = 16777215, 0, 1)</f>
        <v>0</v>
      </c>
    </row>
    <row r="295" spans="1:38">
      <c r="A295" s="1">
        <v>294</v>
      </c>
      <c r="B295" s="3" t="s">
        <v>27</v>
      </c>
      <c r="C295" s="7" t="s">
        <v>218</v>
      </c>
      <c r="D295" s="7" t="s">
        <v>145</v>
      </c>
      <c r="E295" s="8">
        <v>56.848577777777777</v>
      </c>
      <c r="F295" s="8">
        <v>-133.86111111111111</v>
      </c>
      <c r="G295" s="9" t="s">
        <v>30</v>
      </c>
      <c r="H295" s="3" t="s">
        <v>31</v>
      </c>
      <c r="I295" s="3" t="s">
        <v>31</v>
      </c>
      <c r="J295" s="3" t="s">
        <v>31</v>
      </c>
      <c r="K295" s="7" t="s">
        <v>49</v>
      </c>
      <c r="L295" s="9">
        <v>23</v>
      </c>
      <c r="M295" s="9">
        <v>18</v>
      </c>
      <c r="N295" s="9">
        <f t="shared" si="21"/>
        <v>5</v>
      </c>
      <c r="O295" s="29">
        <f>M298</f>
        <v>5</v>
      </c>
      <c r="P295" s="29">
        <f>L295</f>
        <v>23</v>
      </c>
      <c r="Q295" s="29">
        <f>P295+O295</f>
        <v>28</v>
      </c>
      <c r="R295" s="11">
        <v>0</v>
      </c>
      <c r="S295" s="1">
        <v>0.08</v>
      </c>
      <c r="T295" s="1">
        <f t="shared" si="22"/>
        <v>0.08</v>
      </c>
      <c r="U295" s="12">
        <v>0</v>
      </c>
      <c r="V295" s="31">
        <v>36.66627891666667</v>
      </c>
      <c r="W295" s="14">
        <f t="shared" si="23"/>
        <v>1466.6511566666668</v>
      </c>
      <c r="X295" s="14">
        <f>SUM(W295:W305)</f>
        <v>60842.662582865458</v>
      </c>
      <c r="Y295" s="14">
        <f t="shared" si="27"/>
        <v>1466.6511566666668</v>
      </c>
      <c r="Z295" s="15">
        <f>SUM(Y295:Y298)/10^6*10^4</f>
        <v>172.1614748156546</v>
      </c>
      <c r="AA295" s="16">
        <v>44.534575744516324</v>
      </c>
      <c r="AB295" s="5"/>
      <c r="AC295" s="1"/>
      <c r="AD295" s="28"/>
      <c r="AE295" s="28"/>
      <c r="AF295" s="3"/>
      <c r="AG295" s="7"/>
      <c r="AH295" s="7"/>
      <c r="AI295" s="3" t="s">
        <v>146</v>
      </c>
      <c r="AJ295" s="7" t="s">
        <v>60</v>
      </c>
      <c r="AK295" s="3"/>
      <c r="AL295" cm="1">
        <f t="array" ref="AL295">IF(getColor(V295) = 16777215, 0, 1)</f>
        <v>1</v>
      </c>
    </row>
    <row r="296" spans="1:38">
      <c r="A296" s="1">
        <v>295</v>
      </c>
      <c r="B296" s="3" t="s">
        <v>27</v>
      </c>
      <c r="C296" s="7" t="s">
        <v>218</v>
      </c>
      <c r="D296" s="7" t="s">
        <v>145</v>
      </c>
      <c r="E296" s="8">
        <v>56.848577777777777</v>
      </c>
      <c r="F296" s="8">
        <v>-133.86111111111111</v>
      </c>
      <c r="G296" s="9" t="s">
        <v>30</v>
      </c>
      <c r="H296" s="3" t="s">
        <v>31</v>
      </c>
      <c r="I296" s="3" t="s">
        <v>31</v>
      </c>
      <c r="J296" s="3" t="s">
        <v>31</v>
      </c>
      <c r="K296" s="7" t="s">
        <v>51</v>
      </c>
      <c r="L296" s="9">
        <v>18</v>
      </c>
      <c r="M296" s="9">
        <v>8</v>
      </c>
      <c r="N296" s="9">
        <f t="shared" si="21"/>
        <v>10</v>
      </c>
      <c r="O296" s="9"/>
      <c r="P296" s="9"/>
      <c r="Q296" s="25"/>
      <c r="R296" s="11">
        <v>0</v>
      </c>
      <c r="S296" s="1">
        <v>0.12</v>
      </c>
      <c r="T296" s="1">
        <f t="shared" si="22"/>
        <v>0.12</v>
      </c>
      <c r="U296" s="12">
        <v>0</v>
      </c>
      <c r="V296" s="31">
        <v>40.639330342105275</v>
      </c>
      <c r="W296" s="14">
        <f t="shared" si="23"/>
        <v>4876.7196410526321</v>
      </c>
      <c r="X296" s="25"/>
      <c r="Y296" s="14">
        <f t="shared" si="27"/>
        <v>4876.7196410526321</v>
      </c>
      <c r="Z296" s="3"/>
      <c r="AA296" s="3"/>
      <c r="AB296" s="5"/>
      <c r="AC296" s="5"/>
      <c r="AD296" s="32"/>
      <c r="AE296" s="32"/>
      <c r="AF296" s="3"/>
      <c r="AG296" s="7"/>
      <c r="AH296" s="7"/>
      <c r="AI296" s="3" t="s">
        <v>146</v>
      </c>
      <c r="AJ296" s="7" t="s">
        <v>67</v>
      </c>
      <c r="AK296" s="3"/>
      <c r="AL296" cm="1">
        <f t="array" ref="AL296">IF(getColor(V296) = 16777215, 0, 1)</f>
        <v>1</v>
      </c>
    </row>
    <row r="297" spans="1:38">
      <c r="A297" s="1">
        <v>296</v>
      </c>
      <c r="B297" s="3" t="s">
        <v>27</v>
      </c>
      <c r="C297" s="7" t="s">
        <v>218</v>
      </c>
      <c r="D297" s="7" t="s">
        <v>145</v>
      </c>
      <c r="E297" s="8">
        <v>56.848577777777777</v>
      </c>
      <c r="F297" s="8">
        <v>-133.86111111111111</v>
      </c>
      <c r="G297" s="9" t="s">
        <v>30</v>
      </c>
      <c r="H297" s="3" t="s">
        <v>31</v>
      </c>
      <c r="I297" s="3" t="s">
        <v>31</v>
      </c>
      <c r="J297" s="3" t="s">
        <v>31</v>
      </c>
      <c r="K297" s="7" t="s">
        <v>52</v>
      </c>
      <c r="L297" s="9">
        <v>8</v>
      </c>
      <c r="M297" s="9">
        <v>0</v>
      </c>
      <c r="N297" s="9">
        <f t="shared" si="21"/>
        <v>8</v>
      </c>
      <c r="O297" s="9"/>
      <c r="P297" s="9"/>
      <c r="Q297" s="25"/>
      <c r="R297" s="11">
        <v>0</v>
      </c>
      <c r="S297" s="1">
        <v>0.15</v>
      </c>
      <c r="T297" s="1">
        <f t="shared" si="22"/>
        <v>0.15</v>
      </c>
      <c r="U297" s="12">
        <v>0</v>
      </c>
      <c r="V297" s="31">
        <v>36.068238615384637</v>
      </c>
      <c r="W297" s="14">
        <f t="shared" si="23"/>
        <v>4328.1886338461563</v>
      </c>
      <c r="X297" s="25"/>
      <c r="Y297" s="14">
        <f t="shared" si="27"/>
        <v>4328.1886338461563</v>
      </c>
      <c r="Z297" s="3"/>
      <c r="AA297" s="3"/>
      <c r="AB297" s="5"/>
      <c r="AC297" s="1"/>
      <c r="AD297" s="32"/>
      <c r="AE297" s="32"/>
      <c r="AF297" s="3"/>
      <c r="AG297" s="7"/>
      <c r="AH297" s="7"/>
      <c r="AI297" s="3" t="s">
        <v>146</v>
      </c>
      <c r="AJ297" s="7" t="s">
        <v>76</v>
      </c>
      <c r="AK297" s="3"/>
      <c r="AL297" cm="1">
        <f t="array" ref="AL297">IF(getColor(V297) = 16777215, 0, 1)</f>
        <v>1</v>
      </c>
    </row>
    <row r="298" spans="1:38">
      <c r="A298" s="1">
        <v>297</v>
      </c>
      <c r="B298" s="3" t="s">
        <v>27</v>
      </c>
      <c r="C298" s="7" t="s">
        <v>218</v>
      </c>
      <c r="D298" s="7" t="s">
        <v>145</v>
      </c>
      <c r="E298" s="8">
        <v>56.848577777777777</v>
      </c>
      <c r="F298" s="8">
        <v>-133.86111111111111</v>
      </c>
      <c r="G298" s="9" t="s">
        <v>30</v>
      </c>
      <c r="H298" s="3" t="s">
        <v>31</v>
      </c>
      <c r="I298" s="3" t="s">
        <v>31</v>
      </c>
      <c r="J298" s="3" t="s">
        <v>31</v>
      </c>
      <c r="K298" s="7" t="s">
        <v>44</v>
      </c>
      <c r="L298" s="9">
        <v>0</v>
      </c>
      <c r="M298" s="9">
        <v>5</v>
      </c>
      <c r="N298" s="9">
        <f t="shared" si="21"/>
        <v>5</v>
      </c>
      <c r="O298" s="9"/>
      <c r="P298" s="9"/>
      <c r="Q298" s="25"/>
      <c r="R298" s="11">
        <v>0</v>
      </c>
      <c r="S298" s="1">
        <v>1.74</v>
      </c>
      <c r="T298" s="1">
        <f t="shared" si="22"/>
        <v>1.74</v>
      </c>
      <c r="U298" s="12">
        <v>0</v>
      </c>
      <c r="V298" s="13">
        <v>7.5225150000000003</v>
      </c>
      <c r="W298" s="14">
        <f t="shared" si="23"/>
        <v>6544.5880500000012</v>
      </c>
      <c r="X298" s="25"/>
      <c r="Y298" s="14">
        <f t="shared" si="27"/>
        <v>6544.5880500000012</v>
      </c>
      <c r="Z298" s="3"/>
      <c r="AA298" s="3"/>
      <c r="AB298" s="5"/>
      <c r="AC298" s="1"/>
      <c r="AD298" s="32"/>
      <c r="AE298" s="32"/>
      <c r="AF298" s="3"/>
      <c r="AG298" s="7"/>
      <c r="AH298" s="7"/>
      <c r="AI298" s="3" t="s">
        <v>146</v>
      </c>
      <c r="AJ298" s="7" t="s">
        <v>44</v>
      </c>
      <c r="AK298" s="3"/>
      <c r="AL298" cm="1">
        <f t="array" ref="AL298">IF(getColor(V298) = 16777215, 0, 1)</f>
        <v>0</v>
      </c>
    </row>
    <row r="299" spans="1:38">
      <c r="A299" s="1">
        <v>298</v>
      </c>
      <c r="B299" s="3" t="s">
        <v>27</v>
      </c>
      <c r="C299" s="7" t="s">
        <v>219</v>
      </c>
      <c r="D299" s="7" t="s">
        <v>220</v>
      </c>
      <c r="E299" s="8">
        <v>56.904166666666669</v>
      </c>
      <c r="F299" s="8">
        <v>-133.76388888888889</v>
      </c>
      <c r="G299" s="9" t="s">
        <v>30</v>
      </c>
      <c r="H299" s="3" t="s">
        <v>31</v>
      </c>
      <c r="I299" s="3" t="s">
        <v>31</v>
      </c>
      <c r="J299" s="3" t="s">
        <v>31</v>
      </c>
      <c r="K299" s="7" t="s">
        <v>51</v>
      </c>
      <c r="L299" s="9">
        <v>13</v>
      </c>
      <c r="M299" s="9">
        <v>0</v>
      </c>
      <c r="N299" s="9">
        <f t="shared" si="21"/>
        <v>13</v>
      </c>
      <c r="O299" s="29">
        <f>M304</f>
        <v>152</v>
      </c>
      <c r="P299" s="29">
        <f>L299</f>
        <v>13</v>
      </c>
      <c r="Q299" s="29">
        <f>P299+O299</f>
        <v>165</v>
      </c>
      <c r="R299" s="11">
        <v>0</v>
      </c>
      <c r="S299" s="1">
        <v>0.12</v>
      </c>
      <c r="T299" s="1">
        <f t="shared" si="22"/>
        <v>0.12</v>
      </c>
      <c r="U299" s="12">
        <v>0</v>
      </c>
      <c r="V299" s="13">
        <v>55.178325000000001</v>
      </c>
      <c r="W299" s="14">
        <f t="shared" si="23"/>
        <v>8607.8186999999998</v>
      </c>
      <c r="X299" s="14">
        <f>SUM(W299:W304)</f>
        <v>42746.524407299999</v>
      </c>
      <c r="Y299" s="14">
        <f t="shared" si="27"/>
        <v>8607.8186999999998</v>
      </c>
      <c r="Z299" s="15">
        <f>SUM(Y299:Y304)/10^6*10^4</f>
        <v>332.33190291300002</v>
      </c>
      <c r="AA299" s="16">
        <v>62.167906967491874</v>
      </c>
      <c r="AB299" s="5"/>
      <c r="AC299" s="1"/>
      <c r="AD299" s="28"/>
      <c r="AE299" s="28"/>
      <c r="AF299" s="3"/>
      <c r="AG299" s="7"/>
      <c r="AH299" s="7"/>
      <c r="AI299" s="3" t="s">
        <v>107</v>
      </c>
      <c r="AJ299" s="7" t="s">
        <v>67</v>
      </c>
      <c r="AK299" s="3"/>
      <c r="AL299" cm="1">
        <f t="array" ref="AL299">IF(getColor(V299) = 16777215, 0, 1)</f>
        <v>0</v>
      </c>
    </row>
    <row r="300" spans="1:38">
      <c r="A300" s="1">
        <v>299</v>
      </c>
      <c r="B300" s="3" t="s">
        <v>27</v>
      </c>
      <c r="C300" s="7" t="s">
        <v>219</v>
      </c>
      <c r="D300" s="7" t="s">
        <v>220</v>
      </c>
      <c r="E300" s="8">
        <v>56.904166666666669</v>
      </c>
      <c r="F300" s="8">
        <v>-133.76388888888889</v>
      </c>
      <c r="G300" s="9" t="s">
        <v>30</v>
      </c>
      <c r="H300" s="3" t="s">
        <v>31</v>
      </c>
      <c r="I300" s="3" t="s">
        <v>31</v>
      </c>
      <c r="J300" s="3" t="s">
        <v>31</v>
      </c>
      <c r="K300" s="7" t="s">
        <v>47</v>
      </c>
      <c r="L300" s="9">
        <v>0</v>
      </c>
      <c r="M300" s="9">
        <v>3</v>
      </c>
      <c r="N300" s="9">
        <f t="shared" si="21"/>
        <v>3</v>
      </c>
      <c r="O300" s="9"/>
      <c r="P300" s="9"/>
      <c r="Q300" s="25"/>
      <c r="R300" s="11">
        <v>0</v>
      </c>
      <c r="S300" s="1">
        <v>0.93</v>
      </c>
      <c r="T300" s="1">
        <f t="shared" si="22"/>
        <v>0.93</v>
      </c>
      <c r="U300" s="12">
        <v>3</v>
      </c>
      <c r="V300" s="13">
        <v>5.0688750000000002</v>
      </c>
      <c r="W300" s="14">
        <f t="shared" si="23"/>
        <v>1371.7896412500002</v>
      </c>
      <c r="X300" s="25"/>
      <c r="Y300" s="14">
        <f t="shared" si="27"/>
        <v>1371.7896412500002</v>
      </c>
      <c r="Z300" s="3"/>
      <c r="AA300" s="3"/>
      <c r="AB300" s="5"/>
      <c r="AC300" s="5"/>
      <c r="AD300" s="28"/>
      <c r="AE300" s="28"/>
      <c r="AF300" s="3"/>
      <c r="AG300" s="7"/>
      <c r="AH300" s="7"/>
      <c r="AI300" s="3" t="s">
        <v>107</v>
      </c>
      <c r="AJ300" s="7" t="s">
        <v>47</v>
      </c>
      <c r="AK300" s="3"/>
      <c r="AL300" cm="1">
        <f t="array" ref="AL300">IF(getColor(V300) = 16777215, 0, 1)</f>
        <v>0</v>
      </c>
    </row>
    <row r="301" spans="1:38">
      <c r="A301" s="1">
        <v>300</v>
      </c>
      <c r="B301" s="3" t="s">
        <v>27</v>
      </c>
      <c r="C301" s="7" t="s">
        <v>219</v>
      </c>
      <c r="D301" s="7" t="s">
        <v>220</v>
      </c>
      <c r="E301" s="8">
        <v>56.904166666666669</v>
      </c>
      <c r="F301" s="8">
        <v>-133.76388888888889</v>
      </c>
      <c r="G301" s="9" t="s">
        <v>30</v>
      </c>
      <c r="H301" s="3" t="s">
        <v>31</v>
      </c>
      <c r="I301" s="3" t="s">
        <v>31</v>
      </c>
      <c r="J301" s="3" t="s">
        <v>31</v>
      </c>
      <c r="K301" s="7" t="s">
        <v>68</v>
      </c>
      <c r="L301" s="9">
        <v>3</v>
      </c>
      <c r="M301" s="9">
        <v>8</v>
      </c>
      <c r="N301" s="9">
        <f t="shared" si="21"/>
        <v>5</v>
      </c>
      <c r="O301" s="9"/>
      <c r="P301" s="9"/>
      <c r="Q301" s="25"/>
      <c r="R301" s="11">
        <v>0</v>
      </c>
      <c r="S301" s="1">
        <v>0.86</v>
      </c>
      <c r="T301" s="1">
        <f t="shared" si="22"/>
        <v>0.86</v>
      </c>
      <c r="U301" s="12">
        <v>7</v>
      </c>
      <c r="V301" s="13">
        <v>12.232885</v>
      </c>
      <c r="W301" s="14">
        <f t="shared" si="23"/>
        <v>4891.9307115000011</v>
      </c>
      <c r="X301" s="25"/>
      <c r="Y301" s="14">
        <f t="shared" si="27"/>
        <v>4891.9307115000011</v>
      </c>
      <c r="Z301" s="3"/>
      <c r="AA301" s="3"/>
      <c r="AB301" s="5"/>
      <c r="AC301" s="1"/>
      <c r="AD301" s="28"/>
      <c r="AE301" s="28"/>
      <c r="AF301" s="3"/>
      <c r="AG301" s="7"/>
      <c r="AH301" s="7"/>
      <c r="AI301" s="3" t="s">
        <v>107</v>
      </c>
      <c r="AJ301" s="7" t="s">
        <v>68</v>
      </c>
      <c r="AK301" s="3"/>
      <c r="AL301" cm="1">
        <f t="array" ref="AL301">IF(getColor(V301) = 16777215, 0, 1)</f>
        <v>0</v>
      </c>
    </row>
    <row r="302" spans="1:38">
      <c r="A302" s="1">
        <v>301</v>
      </c>
      <c r="B302" s="3" t="s">
        <v>27</v>
      </c>
      <c r="C302" s="7" t="s">
        <v>219</v>
      </c>
      <c r="D302" s="7" t="s">
        <v>220</v>
      </c>
      <c r="E302" s="8">
        <v>56.904166666666669</v>
      </c>
      <c r="F302" s="8">
        <v>-133.76388888888889</v>
      </c>
      <c r="G302" s="9" t="s">
        <v>30</v>
      </c>
      <c r="H302" s="3" t="s">
        <v>31</v>
      </c>
      <c r="I302" s="3" t="s">
        <v>31</v>
      </c>
      <c r="J302" s="3" t="s">
        <v>31</v>
      </c>
      <c r="K302" s="7" t="s">
        <v>41</v>
      </c>
      <c r="L302" s="9">
        <v>8</v>
      </c>
      <c r="M302" s="9">
        <v>64</v>
      </c>
      <c r="N302" s="9">
        <f t="shared" si="21"/>
        <v>56</v>
      </c>
      <c r="O302" s="9"/>
      <c r="P302" s="9"/>
      <c r="Q302" s="25"/>
      <c r="R302" s="11">
        <v>0</v>
      </c>
      <c r="S302" s="1">
        <v>1.17</v>
      </c>
      <c r="T302" s="1">
        <f t="shared" si="22"/>
        <v>1.17</v>
      </c>
      <c r="U302" s="12">
        <v>12</v>
      </c>
      <c r="V302" s="13">
        <v>2.230305</v>
      </c>
      <c r="W302" s="14">
        <f t="shared" si="23"/>
        <v>12859.4033568</v>
      </c>
      <c r="X302" s="25"/>
      <c r="Y302" s="14">
        <f t="shared" si="27"/>
        <v>12859.4033568</v>
      </c>
      <c r="Z302" s="3"/>
      <c r="AA302" s="3"/>
      <c r="AB302" s="5"/>
      <c r="AC302" s="1"/>
      <c r="AD302" s="28"/>
      <c r="AE302" s="28"/>
      <c r="AF302" s="3"/>
      <c r="AG302" s="7"/>
      <c r="AH302" s="7"/>
      <c r="AI302" s="3" t="s">
        <v>107</v>
      </c>
      <c r="AJ302" s="7" t="s">
        <v>61</v>
      </c>
      <c r="AK302" s="3"/>
      <c r="AL302" cm="1">
        <f t="array" ref="AL302">IF(getColor(V302) = 16777215, 0, 1)</f>
        <v>0</v>
      </c>
    </row>
    <row r="303" spans="1:38">
      <c r="A303" s="1">
        <v>302</v>
      </c>
      <c r="B303" s="3" t="s">
        <v>27</v>
      </c>
      <c r="C303" s="7" t="s">
        <v>219</v>
      </c>
      <c r="D303" s="7" t="s">
        <v>220</v>
      </c>
      <c r="E303" s="8">
        <v>56.904166666666669</v>
      </c>
      <c r="F303" s="8">
        <v>-133.76388888888889</v>
      </c>
      <c r="G303" s="9" t="s">
        <v>30</v>
      </c>
      <c r="H303" s="3" t="s">
        <v>31</v>
      </c>
      <c r="I303" s="3" t="s">
        <v>31</v>
      </c>
      <c r="J303" s="3" t="s">
        <v>31</v>
      </c>
      <c r="K303" s="7" t="s">
        <v>79</v>
      </c>
      <c r="L303" s="9">
        <v>64</v>
      </c>
      <c r="M303" s="9">
        <v>89</v>
      </c>
      <c r="N303" s="9">
        <f t="shared" si="21"/>
        <v>25</v>
      </c>
      <c r="O303" s="9"/>
      <c r="P303" s="9"/>
      <c r="Q303" s="25"/>
      <c r="R303" s="11">
        <v>0</v>
      </c>
      <c r="S303" s="1">
        <v>1.71</v>
      </c>
      <c r="T303" s="1">
        <f t="shared" si="22"/>
        <v>1.71</v>
      </c>
      <c r="U303" s="12">
        <v>11</v>
      </c>
      <c r="V303" s="13">
        <v>0.91722499999999996</v>
      </c>
      <c r="W303" s="14">
        <f t="shared" si="23"/>
        <v>3489.8118187499999</v>
      </c>
      <c r="X303" s="25"/>
      <c r="Y303" s="14">
        <f t="shared" si="27"/>
        <v>3489.8118187499999</v>
      </c>
      <c r="Z303" s="3"/>
      <c r="AA303" s="3"/>
      <c r="AB303" s="5"/>
      <c r="AC303" s="1"/>
      <c r="AD303" s="28"/>
      <c r="AE303" s="28"/>
      <c r="AF303" s="3"/>
      <c r="AG303" s="7"/>
      <c r="AH303" s="7"/>
      <c r="AI303" s="3" t="s">
        <v>107</v>
      </c>
      <c r="AJ303" s="7" t="s">
        <v>79</v>
      </c>
      <c r="AK303" s="3"/>
      <c r="AL303" cm="1">
        <f t="array" ref="AL303">IF(getColor(V303) = 16777215, 0, 1)</f>
        <v>0</v>
      </c>
    </row>
    <row r="304" spans="1:38">
      <c r="A304" s="1">
        <v>303</v>
      </c>
      <c r="B304" s="3" t="s">
        <v>27</v>
      </c>
      <c r="C304" s="7" t="s">
        <v>219</v>
      </c>
      <c r="D304" s="7" t="s">
        <v>220</v>
      </c>
      <c r="E304" s="8">
        <v>56.904166666666669</v>
      </c>
      <c r="F304" s="8">
        <v>-133.76388888888889</v>
      </c>
      <c r="G304" s="9" t="s">
        <v>30</v>
      </c>
      <c r="H304" s="3" t="s">
        <v>31</v>
      </c>
      <c r="I304" s="3" t="s">
        <v>31</v>
      </c>
      <c r="J304" s="3" t="s">
        <v>31</v>
      </c>
      <c r="K304" s="7" t="s">
        <v>44</v>
      </c>
      <c r="L304" s="9">
        <v>89</v>
      </c>
      <c r="M304" s="9">
        <v>152</v>
      </c>
      <c r="N304" s="9">
        <f t="shared" si="21"/>
        <v>63</v>
      </c>
      <c r="O304" s="9"/>
      <c r="P304" s="9"/>
      <c r="Q304" s="25"/>
      <c r="R304" s="11">
        <v>0</v>
      </c>
      <c r="S304" s="1">
        <v>1.74</v>
      </c>
      <c r="T304" s="1">
        <f t="shared" si="22"/>
        <v>1.74</v>
      </c>
      <c r="U304" s="12">
        <v>10</v>
      </c>
      <c r="V304" s="13">
        <v>1.168255</v>
      </c>
      <c r="W304" s="14">
        <f t="shared" si="23"/>
        <v>11525.770179000001</v>
      </c>
      <c r="X304" s="25"/>
      <c r="Y304" s="14">
        <f>IF(L304&gt;-100,W304-W304*(ABS(M304)-100)/(ABS(M304)-ABS(L304)),0)</f>
        <v>2012.436063000001</v>
      </c>
      <c r="Z304" s="3"/>
      <c r="AA304" s="3"/>
      <c r="AB304" s="5"/>
      <c r="AC304" s="1"/>
      <c r="AD304" s="28"/>
      <c r="AE304" s="28"/>
      <c r="AF304" s="3"/>
      <c r="AG304" s="7"/>
      <c r="AH304" s="7"/>
      <c r="AI304" s="3" t="s">
        <v>107</v>
      </c>
      <c r="AJ304" s="7" t="s">
        <v>44</v>
      </c>
      <c r="AK304" s="3"/>
      <c r="AL304" cm="1">
        <f t="array" ref="AL304">IF(getColor(V304) = 16777215, 0, 1)</f>
        <v>0</v>
      </c>
    </row>
    <row r="305" spans="1:38">
      <c r="A305" s="1">
        <v>304</v>
      </c>
      <c r="B305" s="3" t="s">
        <v>27</v>
      </c>
      <c r="C305" s="7" t="s">
        <v>221</v>
      </c>
      <c r="D305" s="7" t="s">
        <v>222</v>
      </c>
      <c r="E305" s="8">
        <v>56.901388888888889</v>
      </c>
      <c r="F305" s="8">
        <v>-133.76111111111112</v>
      </c>
      <c r="G305" s="9" t="s">
        <v>30</v>
      </c>
      <c r="H305" s="3" t="s">
        <v>31</v>
      </c>
      <c r="I305" s="3" t="s">
        <v>31</v>
      </c>
      <c r="J305" s="3" t="s">
        <v>31</v>
      </c>
      <c r="K305" s="7" t="s">
        <v>49</v>
      </c>
      <c r="L305" s="9">
        <v>0</v>
      </c>
      <c r="M305" s="9">
        <v>3</v>
      </c>
      <c r="N305" s="9">
        <f t="shared" si="21"/>
        <v>3</v>
      </c>
      <c r="O305" s="10">
        <f>M308-P305</f>
        <v>94</v>
      </c>
      <c r="P305" s="10">
        <f>M307</f>
        <v>58</v>
      </c>
      <c r="Q305" s="10">
        <f>O305+P305</f>
        <v>152</v>
      </c>
      <c r="R305" s="11">
        <v>0</v>
      </c>
      <c r="S305" s="1">
        <v>0.08</v>
      </c>
      <c r="T305" s="1">
        <f t="shared" si="22"/>
        <v>0.08</v>
      </c>
      <c r="U305" s="12"/>
      <c r="V305" s="31">
        <v>36.66627891666667</v>
      </c>
      <c r="W305" s="14">
        <f t="shared" si="23"/>
        <v>879.99069400000019</v>
      </c>
      <c r="X305" s="14">
        <f>SUM(W305:W308)</f>
        <v>37669.669715376847</v>
      </c>
      <c r="Y305" s="14">
        <f t="shared" ref="Y305:Y329" si="28">T305*V305/100*N305*100*100*((100-U305)/100)</f>
        <v>879.99069400000019</v>
      </c>
      <c r="Z305" s="15">
        <f>SUM(Y305:Y308)/10^6*10^4</f>
        <v>376.69669715376841</v>
      </c>
      <c r="AA305" s="16">
        <v>96.252161224176149</v>
      </c>
      <c r="AB305" s="5"/>
      <c r="AC305" s="1"/>
      <c r="AD305" s="28"/>
      <c r="AE305" s="28"/>
      <c r="AF305" s="3"/>
      <c r="AG305" s="7"/>
      <c r="AH305" s="7"/>
      <c r="AI305" s="3" t="s">
        <v>178</v>
      </c>
      <c r="AJ305" s="7" t="s">
        <v>60</v>
      </c>
      <c r="AK305" s="3"/>
      <c r="AL305" cm="1">
        <f t="array" ref="AL305">IF(getColor(V305) = 16777215, 0, 1)</f>
        <v>1</v>
      </c>
    </row>
    <row r="306" spans="1:38">
      <c r="A306" s="1">
        <v>305</v>
      </c>
      <c r="B306" s="3" t="s">
        <v>27</v>
      </c>
      <c r="C306" s="7" t="s">
        <v>221</v>
      </c>
      <c r="D306" s="7" t="s">
        <v>222</v>
      </c>
      <c r="E306" s="8">
        <v>56.901388888888889</v>
      </c>
      <c r="F306" s="8">
        <v>-133.76111111111112</v>
      </c>
      <c r="G306" s="9" t="s">
        <v>30</v>
      </c>
      <c r="H306" s="3" t="s">
        <v>31</v>
      </c>
      <c r="I306" s="3" t="s">
        <v>31</v>
      </c>
      <c r="J306" s="3" t="s">
        <v>31</v>
      </c>
      <c r="K306" s="7" t="s">
        <v>51</v>
      </c>
      <c r="L306" s="9">
        <v>3</v>
      </c>
      <c r="M306" s="9">
        <v>10</v>
      </c>
      <c r="N306" s="9">
        <f t="shared" si="21"/>
        <v>7</v>
      </c>
      <c r="O306" s="9"/>
      <c r="P306" s="9"/>
      <c r="Q306" s="25"/>
      <c r="R306" s="11">
        <v>0</v>
      </c>
      <c r="S306" s="1">
        <v>0.12</v>
      </c>
      <c r="T306" s="1">
        <f t="shared" si="22"/>
        <v>0.12</v>
      </c>
      <c r="U306" s="12"/>
      <c r="V306" s="31">
        <v>40.639330342105275</v>
      </c>
      <c r="W306" s="14">
        <f t="shared" si="23"/>
        <v>3413.7037487368425</v>
      </c>
      <c r="X306" s="25"/>
      <c r="Y306" s="14">
        <f t="shared" si="28"/>
        <v>3413.7037487368425</v>
      </c>
      <c r="Z306" s="3"/>
      <c r="AA306" s="3"/>
      <c r="AB306" s="5"/>
      <c r="AC306" s="5"/>
      <c r="AD306" s="28"/>
      <c r="AE306" s="28"/>
      <c r="AF306" s="3"/>
      <c r="AG306" s="7"/>
      <c r="AH306" s="7"/>
      <c r="AI306" s="3" t="s">
        <v>178</v>
      </c>
      <c r="AJ306" s="7" t="s">
        <v>67</v>
      </c>
      <c r="AK306" s="3"/>
      <c r="AL306" cm="1">
        <f t="array" ref="AL306">IF(getColor(V306) = 16777215, 0, 1)</f>
        <v>1</v>
      </c>
    </row>
    <row r="307" spans="1:38">
      <c r="A307" s="1">
        <v>306</v>
      </c>
      <c r="B307" s="3" t="s">
        <v>27</v>
      </c>
      <c r="C307" s="7" t="s">
        <v>221</v>
      </c>
      <c r="D307" s="7" t="s">
        <v>222</v>
      </c>
      <c r="E307" s="8">
        <v>56.901388888888889</v>
      </c>
      <c r="F307" s="8">
        <v>-133.76111111111112</v>
      </c>
      <c r="G307" s="9" t="s">
        <v>30</v>
      </c>
      <c r="H307" s="3" t="s">
        <v>31</v>
      </c>
      <c r="I307" s="3" t="s">
        <v>31</v>
      </c>
      <c r="J307" s="3" t="s">
        <v>31</v>
      </c>
      <c r="K307" s="7" t="s">
        <v>52</v>
      </c>
      <c r="L307" s="9">
        <v>10</v>
      </c>
      <c r="M307" s="9">
        <v>58</v>
      </c>
      <c r="N307" s="9">
        <f t="shared" si="21"/>
        <v>48</v>
      </c>
      <c r="O307" s="9"/>
      <c r="P307" s="9"/>
      <c r="Q307" s="25"/>
      <c r="R307" s="11">
        <v>0</v>
      </c>
      <c r="S307" s="1">
        <v>0.15</v>
      </c>
      <c r="T307" s="1">
        <f t="shared" si="22"/>
        <v>0.15</v>
      </c>
      <c r="U307" s="12">
        <v>0</v>
      </c>
      <c r="V307" s="13">
        <v>23.810787000000001</v>
      </c>
      <c r="W307" s="14">
        <f t="shared" si="23"/>
        <v>17143.766640000002</v>
      </c>
      <c r="X307" s="25"/>
      <c r="Y307" s="14">
        <f t="shared" si="28"/>
        <v>17143.766640000002</v>
      </c>
      <c r="Z307" s="3"/>
      <c r="AA307" s="3"/>
      <c r="AB307" s="5"/>
      <c r="AC307" s="1"/>
      <c r="AD307" s="28"/>
      <c r="AE307" s="28"/>
      <c r="AF307" s="3"/>
      <c r="AG307" s="7"/>
      <c r="AH307" s="7"/>
      <c r="AI307" s="3" t="s">
        <v>178</v>
      </c>
      <c r="AJ307" s="7" t="s">
        <v>76</v>
      </c>
      <c r="AK307" s="3"/>
      <c r="AL307" cm="1">
        <f t="array" ref="AL307">IF(getColor(V307) = 16777215, 0, 1)</f>
        <v>0</v>
      </c>
    </row>
    <row r="308" spans="1:38">
      <c r="A308" s="1">
        <v>307</v>
      </c>
      <c r="B308" s="3" t="s">
        <v>27</v>
      </c>
      <c r="C308" s="7" t="s">
        <v>221</v>
      </c>
      <c r="D308" s="7" t="s">
        <v>222</v>
      </c>
      <c r="E308" s="8">
        <v>56.901388888888889</v>
      </c>
      <c r="F308" s="8">
        <v>-133.76111111111112</v>
      </c>
      <c r="G308" s="9" t="s">
        <v>30</v>
      </c>
      <c r="H308" s="3" t="s">
        <v>31</v>
      </c>
      <c r="I308" s="3" t="s">
        <v>31</v>
      </c>
      <c r="J308" s="3" t="s">
        <v>31</v>
      </c>
      <c r="K308" s="7" t="s">
        <v>38</v>
      </c>
      <c r="L308" s="9">
        <v>58</v>
      </c>
      <c r="M308" s="9">
        <v>152</v>
      </c>
      <c r="N308" s="9">
        <f t="shared" si="21"/>
        <v>94</v>
      </c>
      <c r="O308" s="9"/>
      <c r="P308" s="9"/>
      <c r="Q308" s="25"/>
      <c r="R308" s="11">
        <v>0</v>
      </c>
      <c r="S308" s="1">
        <v>1.74</v>
      </c>
      <c r="T308" s="1">
        <f t="shared" si="22"/>
        <v>1.74</v>
      </c>
      <c r="U308" s="12">
        <v>19</v>
      </c>
      <c r="V308" s="13">
        <v>1.2252240000000001</v>
      </c>
      <c r="W308" s="14">
        <f t="shared" si="23"/>
        <v>16232.20863264</v>
      </c>
      <c r="X308" s="25"/>
      <c r="Y308" s="14">
        <f t="shared" si="28"/>
        <v>16232.20863264</v>
      </c>
      <c r="Z308" s="3"/>
      <c r="AA308" s="3"/>
      <c r="AB308" s="5"/>
      <c r="AC308" s="1"/>
      <c r="AD308" s="28"/>
      <c r="AE308" s="28"/>
      <c r="AF308" s="3"/>
      <c r="AG308" s="7"/>
      <c r="AH308" s="7"/>
      <c r="AI308" s="3" t="s">
        <v>178</v>
      </c>
      <c r="AJ308" s="7" t="s">
        <v>38</v>
      </c>
      <c r="AK308" s="3"/>
      <c r="AL308" cm="1">
        <f t="array" ref="AL308">IF(getColor(V308) = 16777215, 0, 1)</f>
        <v>0</v>
      </c>
    </row>
    <row r="309" spans="1:38">
      <c r="A309" s="1">
        <v>308</v>
      </c>
      <c r="B309" s="3" t="s">
        <v>27</v>
      </c>
      <c r="C309" s="7" t="s">
        <v>223</v>
      </c>
      <c r="D309" s="7" t="s">
        <v>156</v>
      </c>
      <c r="E309" s="8">
        <v>56.922155555555555</v>
      </c>
      <c r="F309" s="8">
        <v>-134.25</v>
      </c>
      <c r="G309" s="9" t="s">
        <v>30</v>
      </c>
      <c r="H309" s="3" t="s">
        <v>31</v>
      </c>
      <c r="I309" s="3" t="s">
        <v>31</v>
      </c>
      <c r="J309" s="3" t="s">
        <v>31</v>
      </c>
      <c r="K309" s="7" t="s">
        <v>172</v>
      </c>
      <c r="L309" s="9">
        <v>10</v>
      </c>
      <c r="M309" s="9">
        <v>8</v>
      </c>
      <c r="N309" s="9">
        <f t="shared" si="21"/>
        <v>2</v>
      </c>
      <c r="O309" s="29">
        <f>M314</f>
        <v>71</v>
      </c>
      <c r="P309" s="29">
        <f>L309</f>
        <v>10</v>
      </c>
      <c r="Q309" s="29">
        <f>P309+O309</f>
        <v>81</v>
      </c>
      <c r="R309" s="11">
        <v>0</v>
      </c>
      <c r="S309" s="1">
        <v>0.11</v>
      </c>
      <c r="T309" s="1">
        <f t="shared" si="22"/>
        <v>0.11</v>
      </c>
      <c r="U309" s="12">
        <v>0</v>
      </c>
      <c r="V309" s="31">
        <v>37.79128262471886</v>
      </c>
      <c r="W309" s="14">
        <f t="shared" si="23"/>
        <v>831.40821774381482</v>
      </c>
      <c r="X309" s="14">
        <f>SUM(W309:W314)</f>
        <v>35799.455332069076</v>
      </c>
      <c r="Y309" s="14">
        <f t="shared" si="28"/>
        <v>831.40821774381482</v>
      </c>
      <c r="Z309" s="15">
        <f>SUM(Y309:Y314)/10^6*10^4</f>
        <v>357.99455332069073</v>
      </c>
      <c r="AA309" s="16">
        <v>50.402807323067435</v>
      </c>
      <c r="AB309" s="5"/>
      <c r="AC309" s="1"/>
      <c r="AD309" s="28"/>
      <c r="AE309" s="28"/>
      <c r="AF309" s="3"/>
      <c r="AG309" s="7"/>
      <c r="AH309" s="7"/>
      <c r="AI309" s="3" t="s">
        <v>107</v>
      </c>
      <c r="AJ309" s="7" t="s">
        <v>172</v>
      </c>
      <c r="AK309" s="3"/>
      <c r="AL309" cm="1">
        <f t="array" ref="AL309">IF(getColor(V309) = 16777215, 0, 1)</f>
        <v>1</v>
      </c>
    </row>
    <row r="310" spans="1:38">
      <c r="A310" s="1">
        <v>309</v>
      </c>
      <c r="B310" s="3" t="s">
        <v>27</v>
      </c>
      <c r="C310" s="7" t="s">
        <v>223</v>
      </c>
      <c r="D310" s="7" t="s">
        <v>156</v>
      </c>
      <c r="E310" s="8">
        <v>56.922155555555555</v>
      </c>
      <c r="F310" s="8">
        <v>-134.25</v>
      </c>
      <c r="G310" s="9" t="s">
        <v>30</v>
      </c>
      <c r="H310" s="3" t="s">
        <v>31</v>
      </c>
      <c r="I310" s="3" t="s">
        <v>31</v>
      </c>
      <c r="J310" s="3" t="s">
        <v>31</v>
      </c>
      <c r="K310" s="7" t="s">
        <v>173</v>
      </c>
      <c r="L310" s="9">
        <v>8</v>
      </c>
      <c r="M310" s="9">
        <v>0</v>
      </c>
      <c r="N310" s="9">
        <f t="shared" si="21"/>
        <v>8</v>
      </c>
      <c r="O310" s="9"/>
      <c r="P310" s="9"/>
      <c r="Q310" s="25"/>
      <c r="R310" s="11">
        <v>0</v>
      </c>
      <c r="S310" s="1">
        <v>0.11</v>
      </c>
      <c r="T310" s="1">
        <f t="shared" si="22"/>
        <v>0.11</v>
      </c>
      <c r="U310" s="12">
        <v>0</v>
      </c>
      <c r="V310" s="31">
        <v>37.79128262471886</v>
      </c>
      <c r="W310" s="14">
        <f t="shared" si="23"/>
        <v>3325.6328709752593</v>
      </c>
      <c r="X310" s="25"/>
      <c r="Y310" s="14">
        <f t="shared" si="28"/>
        <v>3325.6328709752593</v>
      </c>
      <c r="Z310" s="3"/>
      <c r="AA310" s="3"/>
      <c r="AB310" s="5"/>
      <c r="AC310" s="5"/>
      <c r="AD310" s="32"/>
      <c r="AE310" s="32"/>
      <c r="AF310" s="3"/>
      <c r="AG310" s="7"/>
      <c r="AH310" s="7"/>
      <c r="AI310" s="3" t="s">
        <v>107</v>
      </c>
      <c r="AJ310" s="7" t="s">
        <v>173</v>
      </c>
      <c r="AK310" s="3"/>
      <c r="AL310" cm="1">
        <f t="array" ref="AL310">IF(getColor(V310) = 16777215, 0, 1)</f>
        <v>1</v>
      </c>
    </row>
    <row r="311" spans="1:38">
      <c r="A311" s="1">
        <v>310</v>
      </c>
      <c r="B311" s="3" t="s">
        <v>27</v>
      </c>
      <c r="C311" s="7" t="s">
        <v>223</v>
      </c>
      <c r="D311" s="7" t="s">
        <v>156</v>
      </c>
      <c r="E311" s="8">
        <v>56.922155555555555</v>
      </c>
      <c r="F311" s="8">
        <v>-134.25</v>
      </c>
      <c r="G311" s="9" t="s">
        <v>30</v>
      </c>
      <c r="H311" s="3" t="s">
        <v>31</v>
      </c>
      <c r="I311" s="3" t="s">
        <v>31</v>
      </c>
      <c r="J311" s="3" t="s">
        <v>31</v>
      </c>
      <c r="K311" s="7" t="s">
        <v>77</v>
      </c>
      <c r="L311" s="9">
        <v>0</v>
      </c>
      <c r="M311" s="9">
        <v>13</v>
      </c>
      <c r="N311" s="9">
        <f t="shared" si="21"/>
        <v>13</v>
      </c>
      <c r="O311" s="9"/>
      <c r="P311" s="9"/>
      <c r="Q311" s="25"/>
      <c r="R311" s="11">
        <v>0</v>
      </c>
      <c r="S311" s="1">
        <v>0.86</v>
      </c>
      <c r="T311" s="1">
        <f t="shared" si="22"/>
        <v>0.86</v>
      </c>
      <c r="U311" s="12">
        <v>20</v>
      </c>
      <c r="V311" s="13">
        <v>10.485329999999999</v>
      </c>
      <c r="W311" s="14">
        <f t="shared" si="23"/>
        <v>9378.0791520000002</v>
      </c>
      <c r="X311" s="25"/>
      <c r="Y311" s="14">
        <f t="shared" si="28"/>
        <v>9378.0791520000002</v>
      </c>
      <c r="Z311" s="3"/>
      <c r="AA311" s="3"/>
      <c r="AB311" s="5"/>
      <c r="AC311" s="1"/>
      <c r="AD311" s="32"/>
      <c r="AE311" s="32"/>
      <c r="AF311" s="3"/>
      <c r="AG311" s="7"/>
      <c r="AH311" s="7"/>
      <c r="AI311" s="3" t="s">
        <v>107</v>
      </c>
      <c r="AJ311" s="7" t="s">
        <v>78</v>
      </c>
      <c r="AK311" s="3"/>
      <c r="AL311" cm="1">
        <f t="array" ref="AL311">IF(getColor(V311) = 16777215, 0, 1)</f>
        <v>0</v>
      </c>
    </row>
    <row r="312" spans="1:38">
      <c r="A312" s="1">
        <v>311</v>
      </c>
      <c r="B312" s="3" t="s">
        <v>27</v>
      </c>
      <c r="C312" s="7" t="s">
        <v>223</v>
      </c>
      <c r="D312" s="7" t="s">
        <v>156</v>
      </c>
      <c r="E312" s="8">
        <v>56.922155555555555</v>
      </c>
      <c r="F312" s="8">
        <v>-134.25</v>
      </c>
      <c r="G312" s="9" t="s">
        <v>30</v>
      </c>
      <c r="H312" s="3" t="s">
        <v>31</v>
      </c>
      <c r="I312" s="3" t="s">
        <v>31</v>
      </c>
      <c r="J312" s="3" t="s">
        <v>31</v>
      </c>
      <c r="K312" s="7" t="s">
        <v>69</v>
      </c>
      <c r="L312" s="9">
        <v>13</v>
      </c>
      <c r="M312" s="9">
        <v>25</v>
      </c>
      <c r="N312" s="9">
        <f t="shared" si="21"/>
        <v>12</v>
      </c>
      <c r="O312" s="9"/>
      <c r="P312" s="9"/>
      <c r="Q312" s="25"/>
      <c r="R312" s="11">
        <v>0</v>
      </c>
      <c r="S312" s="1">
        <v>1.17</v>
      </c>
      <c r="T312" s="1">
        <f t="shared" si="22"/>
        <v>1.17</v>
      </c>
      <c r="U312" s="12">
        <v>20</v>
      </c>
      <c r="V312" s="13">
        <v>5.83162</v>
      </c>
      <c r="W312" s="14">
        <f t="shared" si="23"/>
        <v>6550.0755840000002</v>
      </c>
      <c r="X312" s="25"/>
      <c r="Y312" s="14">
        <f t="shared" si="28"/>
        <v>6550.0755840000002</v>
      </c>
      <c r="Z312" s="3"/>
      <c r="AA312" s="3"/>
      <c r="AB312" s="5"/>
      <c r="AC312" s="1"/>
      <c r="AD312" s="28"/>
      <c r="AE312" s="28"/>
      <c r="AF312" s="3"/>
      <c r="AG312" s="7"/>
      <c r="AH312" s="7"/>
      <c r="AI312" s="3" t="s">
        <v>107</v>
      </c>
      <c r="AJ312" s="7" t="s">
        <v>70</v>
      </c>
      <c r="AK312" s="3"/>
      <c r="AL312" cm="1">
        <f t="array" ref="AL312">IF(getColor(V312) = 16777215, 0, 1)</f>
        <v>0</v>
      </c>
    </row>
    <row r="313" spans="1:38">
      <c r="A313" s="1">
        <v>312</v>
      </c>
      <c r="B313" s="3" t="s">
        <v>27</v>
      </c>
      <c r="C313" s="7" t="s">
        <v>223</v>
      </c>
      <c r="D313" s="7" t="s">
        <v>156</v>
      </c>
      <c r="E313" s="8">
        <v>56.922155555555555</v>
      </c>
      <c r="F313" s="8">
        <v>-134.25</v>
      </c>
      <c r="G313" s="9" t="s">
        <v>30</v>
      </c>
      <c r="H313" s="3" t="s">
        <v>31</v>
      </c>
      <c r="I313" s="3" t="s">
        <v>31</v>
      </c>
      <c r="J313" s="3" t="s">
        <v>31</v>
      </c>
      <c r="K313" s="7" t="s">
        <v>71</v>
      </c>
      <c r="L313" s="9">
        <v>25</v>
      </c>
      <c r="M313" s="9">
        <v>46</v>
      </c>
      <c r="N313" s="9">
        <f t="shared" si="21"/>
        <v>21</v>
      </c>
      <c r="O313" s="9"/>
      <c r="P313" s="9"/>
      <c r="Q313" s="25"/>
      <c r="R313" s="11">
        <v>0</v>
      </c>
      <c r="S313" s="1">
        <v>1.17</v>
      </c>
      <c r="T313" s="1">
        <f t="shared" si="22"/>
        <v>1.17</v>
      </c>
      <c r="U313" s="12">
        <v>31</v>
      </c>
      <c r="V313" s="13">
        <v>2.3075450000000002</v>
      </c>
      <c r="W313" s="14">
        <f t="shared" si="23"/>
        <v>3912.0502648499996</v>
      </c>
      <c r="X313" s="25"/>
      <c r="Y313" s="14">
        <f t="shared" si="28"/>
        <v>3912.0502648499996</v>
      </c>
      <c r="Z313" s="3"/>
      <c r="AA313" s="3"/>
      <c r="AB313" s="5"/>
      <c r="AC313" s="1"/>
      <c r="AD313" s="28"/>
      <c r="AE313" s="28"/>
      <c r="AF313" s="3"/>
      <c r="AG313" s="7"/>
      <c r="AH313" s="7"/>
      <c r="AI313" s="3" t="s">
        <v>107</v>
      </c>
      <c r="AJ313" s="7" t="s">
        <v>72</v>
      </c>
      <c r="AK313" s="3"/>
      <c r="AL313" cm="1">
        <f t="array" ref="AL313">IF(getColor(V313) = 16777215, 0, 1)</f>
        <v>0</v>
      </c>
    </row>
    <row r="314" spans="1:38">
      <c r="A314" s="1">
        <v>313</v>
      </c>
      <c r="B314" s="3" t="s">
        <v>27</v>
      </c>
      <c r="C314" s="7" t="s">
        <v>223</v>
      </c>
      <c r="D314" s="7" t="s">
        <v>156</v>
      </c>
      <c r="E314" s="8">
        <v>56.922155555555555</v>
      </c>
      <c r="F314" s="8">
        <v>-134.25</v>
      </c>
      <c r="G314" s="9" t="s">
        <v>30</v>
      </c>
      <c r="H314" s="3" t="s">
        <v>31</v>
      </c>
      <c r="I314" s="3" t="s">
        <v>31</v>
      </c>
      <c r="J314" s="3" t="s">
        <v>31</v>
      </c>
      <c r="K314" s="7" t="s">
        <v>44</v>
      </c>
      <c r="L314" s="9">
        <v>46</v>
      </c>
      <c r="M314" s="9">
        <v>71</v>
      </c>
      <c r="N314" s="9">
        <f t="shared" si="21"/>
        <v>25</v>
      </c>
      <c r="O314" s="9"/>
      <c r="P314" s="9"/>
      <c r="Q314" s="25"/>
      <c r="R314" s="11">
        <v>0</v>
      </c>
      <c r="S314" s="1">
        <v>1.74</v>
      </c>
      <c r="T314" s="1">
        <f t="shared" si="22"/>
        <v>1.74</v>
      </c>
      <c r="U314" s="12">
        <v>43</v>
      </c>
      <c r="V314" s="13">
        <v>4.7599149999999995</v>
      </c>
      <c r="W314" s="14">
        <f t="shared" si="23"/>
        <v>11802.209242499997</v>
      </c>
      <c r="X314" s="25"/>
      <c r="Y314" s="14">
        <f t="shared" si="28"/>
        <v>11802.209242499997</v>
      </c>
      <c r="Z314" s="3"/>
      <c r="AA314" s="3"/>
      <c r="AB314" s="5"/>
      <c r="AC314" s="1"/>
      <c r="AD314" s="28"/>
      <c r="AE314" s="28"/>
      <c r="AF314" s="3"/>
      <c r="AG314" s="7"/>
      <c r="AH314" s="7"/>
      <c r="AI314" s="3" t="s">
        <v>107</v>
      </c>
      <c r="AJ314" s="7" t="s">
        <v>44</v>
      </c>
      <c r="AK314" s="3"/>
      <c r="AL314" cm="1">
        <f t="array" ref="AL314">IF(getColor(V314) = 16777215, 0, 1)</f>
        <v>0</v>
      </c>
    </row>
    <row r="315" spans="1:38">
      <c r="A315" s="1">
        <v>314</v>
      </c>
      <c r="B315" s="3" t="s">
        <v>27</v>
      </c>
      <c r="C315" s="7" t="s">
        <v>224</v>
      </c>
      <c r="D315" s="7" t="s">
        <v>225</v>
      </c>
      <c r="E315" s="8">
        <v>56.916600000000003</v>
      </c>
      <c r="F315" s="8">
        <v>-134.19999999999999</v>
      </c>
      <c r="G315" s="9" t="s">
        <v>30</v>
      </c>
      <c r="H315" s="3" t="s">
        <v>31</v>
      </c>
      <c r="I315" s="3" t="s">
        <v>31</v>
      </c>
      <c r="J315" s="3" t="s">
        <v>31</v>
      </c>
      <c r="K315" s="7" t="s">
        <v>52</v>
      </c>
      <c r="L315" s="9">
        <v>13</v>
      </c>
      <c r="M315" s="9">
        <v>0</v>
      </c>
      <c r="N315" s="9">
        <f t="shared" si="21"/>
        <v>13</v>
      </c>
      <c r="O315" s="29">
        <f>M319</f>
        <v>38</v>
      </c>
      <c r="P315" s="29">
        <f>L315</f>
        <v>13</v>
      </c>
      <c r="Q315" s="29">
        <f>P315+O315</f>
        <v>51</v>
      </c>
      <c r="R315" s="11">
        <v>0</v>
      </c>
      <c r="S315" s="1">
        <v>0.15</v>
      </c>
      <c r="T315" s="1">
        <f t="shared" si="22"/>
        <v>0.15</v>
      </c>
      <c r="U315" s="12">
        <v>0</v>
      </c>
      <c r="V315" s="31">
        <v>36.068238615384637</v>
      </c>
      <c r="W315" s="14">
        <f t="shared" si="23"/>
        <v>7033.3065300000044</v>
      </c>
      <c r="X315" s="14">
        <f>SUM(W315:W319)</f>
        <v>31468.582178000004</v>
      </c>
      <c r="Y315" s="14">
        <f t="shared" si="28"/>
        <v>7033.3065300000044</v>
      </c>
      <c r="Z315" s="15">
        <f>SUM(Y315:Y319)/10^6*10^4</f>
        <v>314.68582178000008</v>
      </c>
      <c r="AA315" s="16">
        <v>47.93904825522349</v>
      </c>
      <c r="AB315" s="5"/>
      <c r="AC315" s="1"/>
      <c r="AD315" s="28"/>
      <c r="AE315" s="28"/>
      <c r="AF315" s="3"/>
      <c r="AG315" s="7"/>
      <c r="AH315" s="7"/>
      <c r="AI315" s="3" t="s">
        <v>75</v>
      </c>
      <c r="AJ315" s="7" t="s">
        <v>76</v>
      </c>
      <c r="AK315" s="3"/>
      <c r="AL315" cm="1">
        <f t="array" ref="AL315">IF(getColor(V315) = 16777215, 0, 1)</f>
        <v>1</v>
      </c>
    </row>
    <row r="316" spans="1:38">
      <c r="A316" s="1">
        <v>315</v>
      </c>
      <c r="B316" s="3" t="s">
        <v>27</v>
      </c>
      <c r="C316" s="7" t="s">
        <v>224</v>
      </c>
      <c r="D316" s="7" t="s">
        <v>225</v>
      </c>
      <c r="E316" s="8">
        <v>56.916600000000003</v>
      </c>
      <c r="F316" s="8">
        <v>-134.19999999999999</v>
      </c>
      <c r="G316" s="9" t="s">
        <v>30</v>
      </c>
      <c r="H316" s="3" t="s">
        <v>31</v>
      </c>
      <c r="I316" s="3" t="s">
        <v>31</v>
      </c>
      <c r="J316" s="3" t="s">
        <v>31</v>
      </c>
      <c r="K316" s="7" t="s">
        <v>47</v>
      </c>
      <c r="L316" s="9">
        <v>0</v>
      </c>
      <c r="M316" s="9">
        <v>3</v>
      </c>
      <c r="N316" s="9">
        <f t="shared" si="21"/>
        <v>3</v>
      </c>
      <c r="O316" s="9"/>
      <c r="P316" s="9"/>
      <c r="Q316" s="25"/>
      <c r="R316" s="11">
        <v>0</v>
      </c>
      <c r="S316" s="1">
        <v>1.31</v>
      </c>
      <c r="T316" s="1">
        <f t="shared" si="22"/>
        <v>1.31</v>
      </c>
      <c r="U316" s="12">
        <v>5</v>
      </c>
      <c r="V316" s="13">
        <v>5.5998999999999999</v>
      </c>
      <c r="W316" s="14">
        <f t="shared" si="23"/>
        <v>2090.7226649999998</v>
      </c>
      <c r="X316" s="25"/>
      <c r="Y316" s="14">
        <f t="shared" si="28"/>
        <v>2090.7226649999998</v>
      </c>
      <c r="Z316" s="3"/>
      <c r="AA316" s="3"/>
      <c r="AB316" s="5"/>
      <c r="AC316" s="5"/>
      <c r="AD316" s="32"/>
      <c r="AE316" s="32"/>
      <c r="AF316" s="3"/>
      <c r="AG316" s="7"/>
      <c r="AH316" s="7"/>
      <c r="AI316" s="3" t="s">
        <v>75</v>
      </c>
      <c r="AJ316" s="7" t="s">
        <v>47</v>
      </c>
      <c r="AK316" s="3"/>
      <c r="AL316" cm="1">
        <f t="array" ref="AL316">IF(getColor(V316) = 16777215, 0, 1)</f>
        <v>0</v>
      </c>
    </row>
    <row r="317" spans="1:38">
      <c r="A317" s="1">
        <v>316</v>
      </c>
      <c r="B317" s="3" t="s">
        <v>27</v>
      </c>
      <c r="C317" s="7" t="s">
        <v>224</v>
      </c>
      <c r="D317" s="7" t="s">
        <v>225</v>
      </c>
      <c r="E317" s="8">
        <v>56.916600000000003</v>
      </c>
      <c r="F317" s="8">
        <v>-134.19999999999999</v>
      </c>
      <c r="G317" s="9" t="s">
        <v>30</v>
      </c>
      <c r="H317" s="3" t="s">
        <v>31</v>
      </c>
      <c r="I317" s="3" t="s">
        <v>31</v>
      </c>
      <c r="J317" s="3" t="s">
        <v>31</v>
      </c>
      <c r="K317" s="7" t="s">
        <v>41</v>
      </c>
      <c r="L317" s="9">
        <v>3</v>
      </c>
      <c r="M317" s="9">
        <v>5</v>
      </c>
      <c r="N317" s="9">
        <f t="shared" si="21"/>
        <v>2</v>
      </c>
      <c r="O317" s="9"/>
      <c r="P317" s="9"/>
      <c r="Q317" s="25"/>
      <c r="R317" s="11">
        <v>0</v>
      </c>
      <c r="S317" s="1">
        <v>1.46</v>
      </c>
      <c r="T317" s="1">
        <f t="shared" si="22"/>
        <v>1.46</v>
      </c>
      <c r="U317" s="12">
        <v>5</v>
      </c>
      <c r="V317" s="13">
        <v>10.69774</v>
      </c>
      <c r="W317" s="14">
        <f t="shared" si="23"/>
        <v>2967.5530759999997</v>
      </c>
      <c r="X317" s="25"/>
      <c r="Y317" s="14">
        <f t="shared" si="28"/>
        <v>2967.5530759999997</v>
      </c>
      <c r="Z317" s="3"/>
      <c r="AA317" s="3"/>
      <c r="AB317" s="5"/>
      <c r="AC317" s="1"/>
      <c r="AD317" s="28"/>
      <c r="AE317" s="28"/>
      <c r="AF317" s="3"/>
      <c r="AG317" s="7"/>
      <c r="AH317" s="7"/>
      <c r="AI317" s="3" t="s">
        <v>75</v>
      </c>
      <c r="AJ317" s="7" t="s">
        <v>61</v>
      </c>
      <c r="AK317" s="3"/>
      <c r="AL317" cm="1">
        <f t="array" ref="AL317">IF(getColor(V317) = 16777215, 0, 1)</f>
        <v>0</v>
      </c>
    </row>
    <row r="318" spans="1:38">
      <c r="A318" s="1">
        <v>317</v>
      </c>
      <c r="B318" s="3" t="s">
        <v>27</v>
      </c>
      <c r="C318" s="7" t="s">
        <v>224</v>
      </c>
      <c r="D318" s="7" t="s">
        <v>225</v>
      </c>
      <c r="E318" s="8">
        <v>56.916600000000003</v>
      </c>
      <c r="F318" s="8">
        <v>-134.19999999999999</v>
      </c>
      <c r="G318" s="9" t="s">
        <v>30</v>
      </c>
      <c r="H318" s="3" t="s">
        <v>31</v>
      </c>
      <c r="I318" s="3" t="s">
        <v>31</v>
      </c>
      <c r="J318" s="3" t="s">
        <v>31</v>
      </c>
      <c r="K318" s="7" t="s">
        <v>175</v>
      </c>
      <c r="L318" s="9">
        <v>5</v>
      </c>
      <c r="M318" s="9">
        <v>13</v>
      </c>
      <c r="N318" s="9">
        <f t="shared" si="21"/>
        <v>8</v>
      </c>
      <c r="O318" s="9"/>
      <c r="P318" s="9"/>
      <c r="Q318" s="25"/>
      <c r="R318" s="11">
        <v>0</v>
      </c>
      <c r="S318" s="1">
        <v>1.19</v>
      </c>
      <c r="T318" s="1">
        <f t="shared" si="22"/>
        <v>1.19</v>
      </c>
      <c r="U318" s="12">
        <v>5</v>
      </c>
      <c r="V318" s="13">
        <v>6.2854049999999999</v>
      </c>
      <c r="W318" s="14">
        <f t="shared" si="23"/>
        <v>5684.5202820000004</v>
      </c>
      <c r="X318" s="25"/>
      <c r="Y318" s="14">
        <f t="shared" si="28"/>
        <v>5684.5202820000004</v>
      </c>
      <c r="Z318" s="3"/>
      <c r="AA318" s="3"/>
      <c r="AB318" s="5"/>
      <c r="AC318" s="1"/>
      <c r="AD318" s="28"/>
      <c r="AE318" s="28"/>
      <c r="AF318" s="3"/>
      <c r="AG318" s="7"/>
      <c r="AH318" s="7"/>
      <c r="AI318" s="3" t="s">
        <v>75</v>
      </c>
      <c r="AJ318" s="7" t="s">
        <v>175</v>
      </c>
      <c r="AK318" s="3"/>
      <c r="AL318" cm="1">
        <f t="array" ref="AL318">IF(getColor(V318) = 16777215, 0, 1)</f>
        <v>0</v>
      </c>
    </row>
    <row r="319" spans="1:38">
      <c r="A319" s="1">
        <v>318</v>
      </c>
      <c r="B319" s="3" t="s">
        <v>27</v>
      </c>
      <c r="C319" s="7" t="s">
        <v>224</v>
      </c>
      <c r="D319" s="7" t="s">
        <v>225</v>
      </c>
      <c r="E319" s="8">
        <v>56.916600000000003</v>
      </c>
      <c r="F319" s="8">
        <v>-134.19999999999999</v>
      </c>
      <c r="G319" s="9" t="s">
        <v>30</v>
      </c>
      <c r="H319" s="3" t="s">
        <v>31</v>
      </c>
      <c r="I319" s="3" t="s">
        <v>31</v>
      </c>
      <c r="J319" s="3" t="s">
        <v>31</v>
      </c>
      <c r="K319" s="7" t="s">
        <v>44</v>
      </c>
      <c r="L319" s="9">
        <v>13</v>
      </c>
      <c r="M319" s="9">
        <v>38</v>
      </c>
      <c r="N319" s="9">
        <f t="shared" si="21"/>
        <v>25</v>
      </c>
      <c r="O319" s="9"/>
      <c r="P319" s="9"/>
      <c r="Q319" s="25"/>
      <c r="R319" s="11">
        <v>0</v>
      </c>
      <c r="S319" s="1">
        <v>1.91</v>
      </c>
      <c r="T319" s="1">
        <f t="shared" si="22"/>
        <v>1.91</v>
      </c>
      <c r="U319" s="12">
        <v>10</v>
      </c>
      <c r="V319" s="13">
        <v>3.18615</v>
      </c>
      <c r="W319" s="14">
        <f t="shared" si="23"/>
        <v>13692.479624999998</v>
      </c>
      <c r="X319" s="25"/>
      <c r="Y319" s="14">
        <f t="shared" si="28"/>
        <v>13692.479624999998</v>
      </c>
      <c r="Z319" s="3"/>
      <c r="AA319" s="3"/>
      <c r="AB319" s="5"/>
      <c r="AC319" s="1"/>
      <c r="AD319" s="28"/>
      <c r="AE319" s="28"/>
      <c r="AF319" s="3"/>
      <c r="AG319" s="7"/>
      <c r="AH319" s="7"/>
      <c r="AI319" s="3" t="s">
        <v>75</v>
      </c>
      <c r="AJ319" s="7" t="s">
        <v>44</v>
      </c>
      <c r="AK319" s="3"/>
      <c r="AL319" cm="1">
        <f t="array" ref="AL319">IF(getColor(V319) = 16777215, 0, 1)</f>
        <v>0</v>
      </c>
    </row>
    <row r="320" spans="1:38">
      <c r="A320" s="1">
        <v>319</v>
      </c>
      <c r="B320" s="3" t="s">
        <v>27</v>
      </c>
      <c r="C320" s="7" t="s">
        <v>226</v>
      </c>
      <c r="D320" s="7" t="s">
        <v>206</v>
      </c>
      <c r="E320" s="8">
        <v>56.921044444444448</v>
      </c>
      <c r="F320" s="8">
        <v>-134.24441111111113</v>
      </c>
      <c r="G320" s="9" t="s">
        <v>30</v>
      </c>
      <c r="H320" s="3" t="s">
        <v>31</v>
      </c>
      <c r="I320" s="3" t="s">
        <v>31</v>
      </c>
      <c r="J320" s="3" t="s">
        <v>31</v>
      </c>
      <c r="K320" s="7" t="s">
        <v>172</v>
      </c>
      <c r="L320" s="9">
        <v>23</v>
      </c>
      <c r="M320" s="9">
        <v>18</v>
      </c>
      <c r="N320" s="9">
        <f t="shared" si="21"/>
        <v>5</v>
      </c>
      <c r="O320" s="29">
        <f>M325</f>
        <v>89</v>
      </c>
      <c r="P320" s="29">
        <f>L320</f>
        <v>23</v>
      </c>
      <c r="Q320" s="29">
        <f>P320+O320</f>
        <v>112</v>
      </c>
      <c r="R320" s="11">
        <v>0</v>
      </c>
      <c r="S320" s="1">
        <v>0.11</v>
      </c>
      <c r="T320" s="1">
        <f t="shared" si="22"/>
        <v>0.11</v>
      </c>
      <c r="U320" s="12">
        <v>0</v>
      </c>
      <c r="V320" s="31">
        <v>37.79128262471886</v>
      </c>
      <c r="W320" s="14">
        <f t="shared" si="23"/>
        <v>2078.5205443595369</v>
      </c>
      <c r="X320" s="14">
        <f>SUM(W320:W325)</f>
        <v>55091.064709203871</v>
      </c>
      <c r="Y320" s="14">
        <f t="shared" si="28"/>
        <v>2078.5205443595369</v>
      </c>
      <c r="Z320" s="15">
        <f>SUM(Y320:Y325)/10^6*10^4</f>
        <v>550.91064709203874</v>
      </c>
      <c r="AA320" s="16">
        <v>90.456778510477761</v>
      </c>
      <c r="AB320" s="5"/>
      <c r="AC320" s="1"/>
      <c r="AD320" s="28"/>
      <c r="AE320" s="28"/>
      <c r="AF320" s="3"/>
      <c r="AG320" s="7"/>
      <c r="AH320" s="7"/>
      <c r="AI320" s="3" t="s">
        <v>107</v>
      </c>
      <c r="AJ320" s="7" t="s">
        <v>172</v>
      </c>
      <c r="AK320" s="3"/>
      <c r="AL320" cm="1">
        <f t="array" ref="AL320">IF(getColor(V320) = 16777215, 0, 1)</f>
        <v>1</v>
      </c>
    </row>
    <row r="321" spans="1:38">
      <c r="A321" s="1">
        <v>320</v>
      </c>
      <c r="B321" s="3" t="s">
        <v>27</v>
      </c>
      <c r="C321" s="7" t="s">
        <v>226</v>
      </c>
      <c r="D321" s="7" t="s">
        <v>206</v>
      </c>
      <c r="E321" s="8">
        <v>56.921044444444448</v>
      </c>
      <c r="F321" s="8">
        <v>-134.24441111111113</v>
      </c>
      <c r="G321" s="9" t="s">
        <v>30</v>
      </c>
      <c r="H321" s="3" t="s">
        <v>31</v>
      </c>
      <c r="I321" s="3" t="s">
        <v>31</v>
      </c>
      <c r="J321" s="3" t="s">
        <v>31</v>
      </c>
      <c r="K321" s="7" t="s">
        <v>173</v>
      </c>
      <c r="L321" s="9">
        <v>18</v>
      </c>
      <c r="M321" s="9">
        <v>0</v>
      </c>
      <c r="N321" s="9">
        <f t="shared" si="21"/>
        <v>18</v>
      </c>
      <c r="O321" s="9"/>
      <c r="P321" s="9"/>
      <c r="Q321" s="25"/>
      <c r="R321" s="11">
        <v>0</v>
      </c>
      <c r="S321" s="1">
        <v>0.11</v>
      </c>
      <c r="T321" s="1">
        <f t="shared" si="22"/>
        <v>0.11</v>
      </c>
      <c r="U321" s="12">
        <v>0</v>
      </c>
      <c r="V321" s="31">
        <v>37.79128262471886</v>
      </c>
      <c r="W321" s="14">
        <f t="shared" si="23"/>
        <v>7482.6739596943326</v>
      </c>
      <c r="X321" s="25"/>
      <c r="Y321" s="14">
        <f t="shared" si="28"/>
        <v>7482.6739596943326</v>
      </c>
      <c r="Z321" s="3"/>
      <c r="AA321" s="3"/>
      <c r="AB321" s="5"/>
      <c r="AC321" s="5"/>
      <c r="AD321" s="32"/>
      <c r="AE321" s="32"/>
      <c r="AF321" s="3"/>
      <c r="AG321" s="7"/>
      <c r="AH321" s="7"/>
      <c r="AI321" s="3" t="s">
        <v>107</v>
      </c>
      <c r="AJ321" s="7" t="s">
        <v>173</v>
      </c>
      <c r="AK321" s="3"/>
      <c r="AL321" cm="1">
        <f t="array" ref="AL321">IF(getColor(V321) = 16777215, 0, 1)</f>
        <v>1</v>
      </c>
    </row>
    <row r="322" spans="1:38">
      <c r="A322" s="1">
        <v>321</v>
      </c>
      <c r="B322" s="3" t="s">
        <v>27</v>
      </c>
      <c r="C322" s="7" t="s">
        <v>226</v>
      </c>
      <c r="D322" s="7" t="s">
        <v>206</v>
      </c>
      <c r="E322" s="8">
        <v>56.921044444444448</v>
      </c>
      <c r="F322" s="8">
        <v>-134.24441111111113</v>
      </c>
      <c r="G322" s="9" t="s">
        <v>30</v>
      </c>
      <c r="H322" s="3" t="s">
        <v>31</v>
      </c>
      <c r="I322" s="3" t="s">
        <v>31</v>
      </c>
      <c r="J322" s="3" t="s">
        <v>31</v>
      </c>
      <c r="K322" s="34" t="s">
        <v>47</v>
      </c>
      <c r="L322" s="27">
        <v>0</v>
      </c>
      <c r="M322" s="27">
        <v>2</v>
      </c>
      <c r="N322" s="9">
        <f t="shared" ref="N322:N385" si="29">ABS(M322-L322)</f>
        <v>2</v>
      </c>
      <c r="O322" s="9"/>
      <c r="P322" s="9"/>
      <c r="Q322" s="25"/>
      <c r="R322" s="11">
        <v>0</v>
      </c>
      <c r="S322" s="1">
        <v>0.93</v>
      </c>
      <c r="T322" s="1">
        <f t="shared" ref="T322:T385" si="30">IF(R322=0,S322,R322)</f>
        <v>0.93</v>
      </c>
      <c r="U322" s="12">
        <v>0</v>
      </c>
      <c r="V322" s="31">
        <v>5.8390833333333338</v>
      </c>
      <c r="W322" s="14">
        <f t="shared" si="23"/>
        <v>1086.0695000000001</v>
      </c>
      <c r="X322" s="25"/>
      <c r="Y322" s="14">
        <f t="shared" si="28"/>
        <v>1086.0695000000001</v>
      </c>
      <c r="Z322" s="3"/>
      <c r="AA322" s="3"/>
      <c r="AB322" s="5"/>
      <c r="AC322" s="1"/>
      <c r="AD322" s="32"/>
      <c r="AE322" s="32"/>
      <c r="AF322" s="3"/>
      <c r="AG322" s="7"/>
      <c r="AH322" s="34"/>
      <c r="AI322" s="3" t="s">
        <v>107</v>
      </c>
      <c r="AJ322" s="34" t="s">
        <v>47</v>
      </c>
      <c r="AK322" s="3"/>
      <c r="AL322" cm="1">
        <f t="array" ref="AL322">IF(getColor(V322) = 16777215, 0, 1)</f>
        <v>1</v>
      </c>
    </row>
    <row r="323" spans="1:38">
      <c r="A323" s="1">
        <v>322</v>
      </c>
      <c r="B323" s="3" t="s">
        <v>27</v>
      </c>
      <c r="C323" s="7" t="s">
        <v>226</v>
      </c>
      <c r="D323" s="7" t="s">
        <v>206</v>
      </c>
      <c r="E323" s="8">
        <v>56.921044444444448</v>
      </c>
      <c r="F323" s="8">
        <v>-134.24441111111113</v>
      </c>
      <c r="G323" s="9" t="s">
        <v>30</v>
      </c>
      <c r="H323" s="3" t="s">
        <v>31</v>
      </c>
      <c r="I323" s="3" t="s">
        <v>31</v>
      </c>
      <c r="J323" s="3" t="s">
        <v>31</v>
      </c>
      <c r="K323" s="7" t="s">
        <v>77</v>
      </c>
      <c r="L323" s="9">
        <v>2</v>
      </c>
      <c r="M323" s="9">
        <v>20</v>
      </c>
      <c r="N323" s="9">
        <f t="shared" si="29"/>
        <v>18</v>
      </c>
      <c r="O323" s="9"/>
      <c r="P323" s="9"/>
      <c r="Q323" s="25"/>
      <c r="R323" s="11">
        <v>0</v>
      </c>
      <c r="S323" s="1">
        <v>0.86</v>
      </c>
      <c r="T323" s="1">
        <f t="shared" si="30"/>
        <v>0.86</v>
      </c>
      <c r="U323" s="12">
        <v>15</v>
      </c>
      <c r="V323" s="13">
        <v>16.741769999999999</v>
      </c>
      <c r="W323" s="14">
        <f t="shared" ref="W323:W386" si="31">T323*V323/100*N323*100*100*((100-U323)/100)</f>
        <v>22028.820965999996</v>
      </c>
      <c r="X323" s="25"/>
      <c r="Y323" s="14">
        <f t="shared" si="28"/>
        <v>22028.820965999996</v>
      </c>
      <c r="Z323" s="3"/>
      <c r="AA323" s="3"/>
      <c r="AB323" s="5"/>
      <c r="AC323" s="1"/>
      <c r="AD323" s="32"/>
      <c r="AE323" s="32"/>
      <c r="AF323" s="3"/>
      <c r="AG323" s="7"/>
      <c r="AH323" s="7"/>
      <c r="AI323" s="3" t="s">
        <v>107</v>
      </c>
      <c r="AJ323" s="7" t="s">
        <v>78</v>
      </c>
      <c r="AK323" s="3"/>
      <c r="AL323" cm="1">
        <f t="array" ref="AL323">IF(getColor(V323) = 16777215, 0, 1)</f>
        <v>0</v>
      </c>
    </row>
    <row r="324" spans="1:38">
      <c r="A324" s="1">
        <v>323</v>
      </c>
      <c r="B324" s="3" t="s">
        <v>27</v>
      </c>
      <c r="C324" s="7" t="s">
        <v>226</v>
      </c>
      <c r="D324" s="7" t="s">
        <v>206</v>
      </c>
      <c r="E324" s="8">
        <v>56.921044444444448</v>
      </c>
      <c r="F324" s="8">
        <v>-134.24441111111113</v>
      </c>
      <c r="G324" s="9" t="s">
        <v>30</v>
      </c>
      <c r="H324" s="3" t="s">
        <v>31</v>
      </c>
      <c r="I324" s="3" t="s">
        <v>31</v>
      </c>
      <c r="J324" s="3" t="s">
        <v>31</v>
      </c>
      <c r="K324" s="7" t="s">
        <v>175</v>
      </c>
      <c r="L324" s="9">
        <v>20</v>
      </c>
      <c r="M324" s="9">
        <v>33</v>
      </c>
      <c r="N324" s="9">
        <f t="shared" si="29"/>
        <v>13</v>
      </c>
      <c r="O324" s="9"/>
      <c r="P324" s="9"/>
      <c r="Q324" s="25"/>
      <c r="R324" s="11">
        <v>0</v>
      </c>
      <c r="S324" s="1">
        <v>1.71</v>
      </c>
      <c r="T324" s="1">
        <f t="shared" si="30"/>
        <v>1.71</v>
      </c>
      <c r="U324" s="12">
        <v>15</v>
      </c>
      <c r="V324" s="13">
        <v>4.7019850000000005</v>
      </c>
      <c r="W324" s="14">
        <f t="shared" si="31"/>
        <v>8884.6357567499999</v>
      </c>
      <c r="X324" s="25"/>
      <c r="Y324" s="14">
        <f t="shared" si="28"/>
        <v>8884.6357567499999</v>
      </c>
      <c r="Z324" s="3"/>
      <c r="AA324" s="3"/>
      <c r="AB324" s="5"/>
      <c r="AC324" s="1"/>
      <c r="AD324" s="28"/>
      <c r="AE324" s="28"/>
      <c r="AF324" s="3"/>
      <c r="AG324" s="7"/>
      <c r="AH324" s="7"/>
      <c r="AI324" s="3" t="s">
        <v>107</v>
      </c>
      <c r="AJ324" s="7" t="s">
        <v>175</v>
      </c>
      <c r="AK324" s="3"/>
      <c r="AL324" cm="1">
        <f t="array" ref="AL324">IF(getColor(V324) = 16777215, 0, 1)</f>
        <v>0</v>
      </c>
    </row>
    <row r="325" spans="1:38">
      <c r="A325" s="1">
        <v>324</v>
      </c>
      <c r="B325" s="3" t="s">
        <v>27</v>
      </c>
      <c r="C325" s="7" t="s">
        <v>226</v>
      </c>
      <c r="D325" s="7" t="s">
        <v>206</v>
      </c>
      <c r="E325" s="8">
        <v>56.921044444444448</v>
      </c>
      <c r="F325" s="8">
        <v>-134.24441111111113</v>
      </c>
      <c r="G325" s="9" t="s">
        <v>30</v>
      </c>
      <c r="H325" s="3" t="s">
        <v>31</v>
      </c>
      <c r="I325" s="3" t="s">
        <v>31</v>
      </c>
      <c r="J325" s="3" t="s">
        <v>31</v>
      </c>
      <c r="K325" s="7" t="s">
        <v>44</v>
      </c>
      <c r="L325" s="9">
        <v>33</v>
      </c>
      <c r="M325" s="9">
        <v>89</v>
      </c>
      <c r="N325" s="9">
        <f t="shared" si="29"/>
        <v>56</v>
      </c>
      <c r="O325" s="9"/>
      <c r="P325" s="9"/>
      <c r="Q325" s="25"/>
      <c r="R325" s="11">
        <v>0</v>
      </c>
      <c r="S325" s="1">
        <v>1.74</v>
      </c>
      <c r="T325" s="1">
        <f t="shared" si="30"/>
        <v>1.74</v>
      </c>
      <c r="U325" s="12">
        <v>6</v>
      </c>
      <c r="V325" s="13">
        <v>1.4772150000000002</v>
      </c>
      <c r="W325" s="14">
        <f t="shared" si="31"/>
        <v>13530.343982400002</v>
      </c>
      <c r="X325" s="25"/>
      <c r="Y325" s="14">
        <f t="shared" si="28"/>
        <v>13530.343982400002</v>
      </c>
      <c r="Z325" s="3"/>
      <c r="AA325" s="3"/>
      <c r="AB325" s="5"/>
      <c r="AC325" s="1"/>
      <c r="AD325" s="28"/>
      <c r="AE325" s="28"/>
      <c r="AF325" s="3"/>
      <c r="AG325" s="7"/>
      <c r="AH325" s="7"/>
      <c r="AI325" s="3" t="s">
        <v>107</v>
      </c>
      <c r="AJ325" s="7" t="s">
        <v>44</v>
      </c>
      <c r="AK325" s="3"/>
      <c r="AL325" cm="1">
        <f t="array" ref="AL325">IF(getColor(V325) = 16777215, 0, 1)</f>
        <v>0</v>
      </c>
    </row>
    <row r="326" spans="1:38">
      <c r="A326" s="1">
        <v>325</v>
      </c>
      <c r="B326" s="3" t="s">
        <v>27</v>
      </c>
      <c r="C326" s="7" t="s">
        <v>227</v>
      </c>
      <c r="D326" s="7" t="s">
        <v>228</v>
      </c>
      <c r="E326" s="8">
        <v>56.916600000000003</v>
      </c>
      <c r="F326" s="8">
        <v>-134.20416666666665</v>
      </c>
      <c r="G326" s="9" t="s">
        <v>30</v>
      </c>
      <c r="H326" s="3" t="s">
        <v>31</v>
      </c>
      <c r="I326" s="3" t="s">
        <v>31</v>
      </c>
      <c r="J326" s="3" t="s">
        <v>31</v>
      </c>
      <c r="K326" s="7" t="s">
        <v>52</v>
      </c>
      <c r="L326" s="9">
        <v>8</v>
      </c>
      <c r="M326" s="9">
        <v>0</v>
      </c>
      <c r="N326" s="9">
        <f t="shared" si="29"/>
        <v>8</v>
      </c>
      <c r="O326" s="29">
        <f>M330</f>
        <v>130</v>
      </c>
      <c r="P326" s="29">
        <f>L326</f>
        <v>8</v>
      </c>
      <c r="Q326" s="29">
        <f>P326+O326</f>
        <v>138</v>
      </c>
      <c r="R326" s="11">
        <v>0</v>
      </c>
      <c r="S326" s="1">
        <v>0.15</v>
      </c>
      <c r="T326" s="1">
        <f t="shared" si="30"/>
        <v>0.15</v>
      </c>
      <c r="U326" s="12">
        <v>0</v>
      </c>
      <c r="V326" s="31">
        <v>36.068238615384637</v>
      </c>
      <c r="W326" s="14">
        <f t="shared" si="31"/>
        <v>4328.1886338461563</v>
      </c>
      <c r="X326" s="14">
        <f>SUM(W326:W330)</f>
        <v>27759.095793512824</v>
      </c>
      <c r="Y326" s="14">
        <f t="shared" si="28"/>
        <v>4328.1886338461563</v>
      </c>
      <c r="Z326" s="15">
        <f>SUM(Y326:Y330)/10^6*10^4</f>
        <v>234.77083983512827</v>
      </c>
      <c r="AA326" s="16">
        <v>32.720925036723649</v>
      </c>
      <c r="AB326" s="5"/>
      <c r="AC326" s="1"/>
      <c r="AD326" s="28"/>
      <c r="AE326" s="28"/>
      <c r="AF326" s="3"/>
      <c r="AG326" s="7"/>
      <c r="AH326" s="7"/>
      <c r="AI326" s="3" t="s">
        <v>75</v>
      </c>
      <c r="AJ326" s="7" t="s">
        <v>76</v>
      </c>
      <c r="AK326" s="3"/>
      <c r="AL326" cm="1">
        <f t="array" ref="AL326">IF(getColor(V326) = 16777215, 0, 1)</f>
        <v>1</v>
      </c>
    </row>
    <row r="327" spans="1:38">
      <c r="A327" s="1">
        <v>326</v>
      </c>
      <c r="B327" s="3" t="s">
        <v>27</v>
      </c>
      <c r="C327" s="7" t="s">
        <v>227</v>
      </c>
      <c r="D327" s="7" t="s">
        <v>228</v>
      </c>
      <c r="E327" s="8">
        <v>56.916600000000003</v>
      </c>
      <c r="F327" s="8">
        <v>-134.20416666666665</v>
      </c>
      <c r="G327" s="9" t="s">
        <v>30</v>
      </c>
      <c r="H327" s="3" t="s">
        <v>31</v>
      </c>
      <c r="I327" s="3" t="s">
        <v>31</v>
      </c>
      <c r="J327" s="3" t="s">
        <v>31</v>
      </c>
      <c r="K327" s="34" t="s">
        <v>47</v>
      </c>
      <c r="L327" s="27">
        <v>0</v>
      </c>
      <c r="M327" s="27">
        <v>1</v>
      </c>
      <c r="N327" s="9">
        <f t="shared" si="29"/>
        <v>1</v>
      </c>
      <c r="O327" s="9"/>
      <c r="P327" s="9"/>
      <c r="Q327" s="25"/>
      <c r="R327" s="11">
        <v>0</v>
      </c>
      <c r="S327" s="1">
        <v>1.31</v>
      </c>
      <c r="T327" s="1">
        <f t="shared" si="30"/>
        <v>1.31</v>
      </c>
      <c r="U327" s="12">
        <v>0</v>
      </c>
      <c r="V327" s="31">
        <v>5.8390833333333338</v>
      </c>
      <c r="W327" s="14">
        <f t="shared" si="31"/>
        <v>764.91991666666672</v>
      </c>
      <c r="X327" s="25"/>
      <c r="Y327" s="14">
        <f t="shared" si="28"/>
        <v>764.91991666666672</v>
      </c>
      <c r="Z327" s="3"/>
      <c r="AA327" s="3"/>
      <c r="AB327" s="5"/>
      <c r="AC327" s="5"/>
      <c r="AD327" s="32"/>
      <c r="AE327" s="32"/>
      <c r="AF327" s="3"/>
      <c r="AG327" s="7"/>
      <c r="AH327" s="34"/>
      <c r="AI327" s="3" t="s">
        <v>75</v>
      </c>
      <c r="AJ327" s="34" t="s">
        <v>47</v>
      </c>
      <c r="AK327" s="3"/>
      <c r="AL327" cm="1">
        <f t="array" ref="AL327">IF(getColor(V327) = 16777215, 0, 1)</f>
        <v>1</v>
      </c>
    </row>
    <row r="328" spans="1:38">
      <c r="A328" s="1">
        <v>327</v>
      </c>
      <c r="B328" s="3" t="s">
        <v>27</v>
      </c>
      <c r="C328" s="7" t="s">
        <v>227</v>
      </c>
      <c r="D328" s="7" t="s">
        <v>228</v>
      </c>
      <c r="E328" s="8">
        <v>56.916600000000003</v>
      </c>
      <c r="F328" s="8">
        <v>-134.20416666666665</v>
      </c>
      <c r="G328" s="9" t="s">
        <v>30</v>
      </c>
      <c r="H328" s="3" t="s">
        <v>31</v>
      </c>
      <c r="I328" s="3" t="s">
        <v>31</v>
      </c>
      <c r="J328" s="3" t="s">
        <v>31</v>
      </c>
      <c r="K328" s="7" t="s">
        <v>77</v>
      </c>
      <c r="L328" s="9">
        <v>1</v>
      </c>
      <c r="M328" s="9">
        <v>5</v>
      </c>
      <c r="N328" s="9">
        <f t="shared" si="29"/>
        <v>4</v>
      </c>
      <c r="O328" s="9"/>
      <c r="P328" s="9"/>
      <c r="Q328" s="25"/>
      <c r="R328" s="11">
        <v>0</v>
      </c>
      <c r="S328" s="1">
        <v>1.19</v>
      </c>
      <c r="T328" s="1">
        <f t="shared" si="30"/>
        <v>1.19</v>
      </c>
      <c r="U328" s="12">
        <v>10</v>
      </c>
      <c r="V328" s="13">
        <v>11.885305000000001</v>
      </c>
      <c r="W328" s="14">
        <f t="shared" si="31"/>
        <v>5091.6646620000001</v>
      </c>
      <c r="X328" s="25"/>
      <c r="Y328" s="14">
        <f t="shared" si="28"/>
        <v>5091.6646620000001</v>
      </c>
      <c r="Z328" s="3"/>
      <c r="AA328" s="3"/>
      <c r="AB328" s="5"/>
      <c r="AC328" s="1"/>
      <c r="AD328" s="32"/>
      <c r="AE328" s="32"/>
      <c r="AF328" s="3"/>
      <c r="AG328" s="7"/>
      <c r="AH328" s="7"/>
      <c r="AI328" s="3" t="s">
        <v>75</v>
      </c>
      <c r="AJ328" s="7" t="s">
        <v>78</v>
      </c>
      <c r="AK328" s="3"/>
      <c r="AL328" cm="1">
        <f t="array" ref="AL328">IF(getColor(V328) = 16777215, 0, 1)</f>
        <v>0</v>
      </c>
    </row>
    <row r="329" spans="1:38">
      <c r="A329" s="1">
        <v>328</v>
      </c>
      <c r="B329" s="3" t="s">
        <v>27</v>
      </c>
      <c r="C329" s="7" t="s">
        <v>227</v>
      </c>
      <c r="D329" s="7" t="s">
        <v>228</v>
      </c>
      <c r="E329" s="8">
        <v>56.916600000000003</v>
      </c>
      <c r="F329" s="8">
        <v>-134.20416666666665</v>
      </c>
      <c r="G329" s="9" t="s">
        <v>30</v>
      </c>
      <c r="H329" s="3" t="s">
        <v>31</v>
      </c>
      <c r="I329" s="3" t="s">
        <v>31</v>
      </c>
      <c r="J329" s="3" t="s">
        <v>31</v>
      </c>
      <c r="K329" s="7" t="s">
        <v>87</v>
      </c>
      <c r="L329" s="9">
        <v>5</v>
      </c>
      <c r="M329" s="9">
        <v>33</v>
      </c>
      <c r="N329" s="9">
        <f t="shared" si="29"/>
        <v>28</v>
      </c>
      <c r="O329" s="9"/>
      <c r="P329" s="9"/>
      <c r="Q329" s="25"/>
      <c r="R329" s="11">
        <v>0</v>
      </c>
      <c r="S329" s="1">
        <v>1.31</v>
      </c>
      <c r="T329" s="1">
        <f t="shared" si="30"/>
        <v>1.31</v>
      </c>
      <c r="U329" s="12">
        <v>10</v>
      </c>
      <c r="V329" s="13">
        <v>1.1296349999999999</v>
      </c>
      <c r="W329" s="14">
        <f t="shared" si="31"/>
        <v>3729.1510620000004</v>
      </c>
      <c r="X329" s="25"/>
      <c r="Y329" s="14">
        <f t="shared" si="28"/>
        <v>3729.1510620000004</v>
      </c>
      <c r="Z329" s="3"/>
      <c r="AA329" s="3"/>
      <c r="AB329" s="5"/>
      <c r="AC329" s="1"/>
      <c r="AD329" s="28"/>
      <c r="AE329" s="28"/>
      <c r="AF329" s="3"/>
      <c r="AG329" s="7"/>
      <c r="AH329" s="7"/>
      <c r="AI329" s="3" t="s">
        <v>75</v>
      </c>
      <c r="AJ329" s="7" t="s">
        <v>87</v>
      </c>
      <c r="AK329" s="3"/>
      <c r="AL329" cm="1">
        <f t="array" ref="AL329">IF(getColor(V329) = 16777215, 0, 1)</f>
        <v>0</v>
      </c>
    </row>
    <row r="330" spans="1:38">
      <c r="A330" s="1">
        <v>329</v>
      </c>
      <c r="B330" s="3" t="s">
        <v>27</v>
      </c>
      <c r="C330" s="7" t="s">
        <v>227</v>
      </c>
      <c r="D330" s="7" t="s">
        <v>228</v>
      </c>
      <c r="E330" s="8">
        <v>56.916600000000003</v>
      </c>
      <c r="F330" s="8">
        <v>-134.20416666666665</v>
      </c>
      <c r="G330" s="9" t="s">
        <v>30</v>
      </c>
      <c r="H330" s="3" t="s">
        <v>31</v>
      </c>
      <c r="I330" s="3" t="s">
        <v>31</v>
      </c>
      <c r="J330" s="3" t="s">
        <v>31</v>
      </c>
      <c r="K330" s="7" t="s">
        <v>44</v>
      </c>
      <c r="L330" s="9">
        <v>33</v>
      </c>
      <c r="M330" s="9">
        <v>130</v>
      </c>
      <c r="N330" s="9">
        <f t="shared" si="29"/>
        <v>97</v>
      </c>
      <c r="O330" s="9"/>
      <c r="P330" s="9"/>
      <c r="Q330" s="25"/>
      <c r="R330" s="11">
        <v>0</v>
      </c>
      <c r="S330" s="1">
        <v>1.91</v>
      </c>
      <c r="T330" s="1">
        <f t="shared" si="30"/>
        <v>1.91</v>
      </c>
      <c r="U330" s="12">
        <v>10</v>
      </c>
      <c r="V330" s="13">
        <v>0.83033000000000001</v>
      </c>
      <c r="W330" s="14">
        <f t="shared" si="31"/>
        <v>13845.171519000001</v>
      </c>
      <c r="X330" s="25"/>
      <c r="Y330" s="14">
        <f>IF(L330&gt;-100,W330-W330*(ABS(M330)-100)/(ABS(M330)-ABS(L330)),0)</f>
        <v>9563.1597089999996</v>
      </c>
      <c r="Z330" s="3"/>
      <c r="AA330" s="3"/>
      <c r="AB330" s="5"/>
      <c r="AC330" s="1"/>
      <c r="AD330" s="28"/>
      <c r="AE330" s="28"/>
      <c r="AF330" s="3"/>
      <c r="AG330" s="7"/>
      <c r="AH330" s="7"/>
      <c r="AI330" s="3" t="s">
        <v>75</v>
      </c>
      <c r="AJ330" s="7" t="s">
        <v>44</v>
      </c>
      <c r="AK330" s="3"/>
      <c r="AL330" cm="1">
        <f t="array" ref="AL330">IF(getColor(V330) = 16777215, 0, 1)</f>
        <v>0</v>
      </c>
    </row>
    <row r="331" spans="1:38">
      <c r="A331" s="1">
        <v>330</v>
      </c>
      <c r="B331" s="3" t="s">
        <v>27</v>
      </c>
      <c r="C331" s="7" t="s">
        <v>229</v>
      </c>
      <c r="D331" s="7" t="s">
        <v>230</v>
      </c>
      <c r="E331" s="8">
        <v>56.916600000000003</v>
      </c>
      <c r="F331" s="8">
        <v>-132.82909999999998</v>
      </c>
      <c r="G331" s="9" t="s">
        <v>30</v>
      </c>
      <c r="H331" s="3" t="s">
        <v>31</v>
      </c>
      <c r="I331" s="3" t="s">
        <v>31</v>
      </c>
      <c r="J331" s="3" t="s">
        <v>31</v>
      </c>
      <c r="K331" s="34" t="s">
        <v>172</v>
      </c>
      <c r="L331" s="27">
        <v>15</v>
      </c>
      <c r="M331" s="27">
        <v>10</v>
      </c>
      <c r="N331" s="9">
        <f t="shared" si="29"/>
        <v>5</v>
      </c>
      <c r="O331" s="29">
        <f>M337</f>
        <v>152</v>
      </c>
      <c r="P331" s="29">
        <f>L331</f>
        <v>15</v>
      </c>
      <c r="Q331" s="29">
        <f>P331+O331</f>
        <v>167</v>
      </c>
      <c r="R331" s="11">
        <v>0</v>
      </c>
      <c r="S331" s="1">
        <v>0.11</v>
      </c>
      <c r="T331" s="1">
        <f t="shared" si="30"/>
        <v>0.11</v>
      </c>
      <c r="U331" s="12">
        <v>0</v>
      </c>
      <c r="V331" s="31">
        <v>37.79128262471886</v>
      </c>
      <c r="W331" s="14">
        <f t="shared" si="31"/>
        <v>2078.5205443595369</v>
      </c>
      <c r="X331" s="14">
        <f>SUM(W331:W337)</f>
        <v>16919.330701309536</v>
      </c>
      <c r="Y331" s="14">
        <f t="shared" ref="Y331:Y336" si="32">T331*V331/100*N331*100*100*((100-U331)/100)</f>
        <v>2078.5205443595369</v>
      </c>
      <c r="Z331" s="15">
        <f>SUM(Y331:Y337)/10^6*10^4</f>
        <v>153.99293845309535</v>
      </c>
      <c r="AA331" s="16">
        <v>59.624574830439848</v>
      </c>
      <c r="AB331" s="5"/>
      <c r="AC331" s="1"/>
      <c r="AD331" s="28"/>
      <c r="AE331" s="28"/>
      <c r="AF331" s="3"/>
      <c r="AG331" s="7"/>
      <c r="AH331" s="34"/>
      <c r="AI331" s="3" t="s">
        <v>107</v>
      </c>
      <c r="AJ331" s="34" t="s">
        <v>172</v>
      </c>
      <c r="AK331" s="3"/>
      <c r="AL331" cm="1">
        <f t="array" ref="AL331">IF(getColor(V331) = 16777215, 0, 1)</f>
        <v>1</v>
      </c>
    </row>
    <row r="332" spans="1:38">
      <c r="A332" s="1">
        <v>331</v>
      </c>
      <c r="B332" s="3" t="s">
        <v>27</v>
      </c>
      <c r="C332" s="7" t="s">
        <v>229</v>
      </c>
      <c r="D332" s="7" t="s">
        <v>230</v>
      </c>
      <c r="E332" s="8">
        <v>56.916600000000003</v>
      </c>
      <c r="F332" s="8">
        <v>-132.82909999999998</v>
      </c>
      <c r="G332" s="9" t="s">
        <v>30</v>
      </c>
      <c r="H332" s="3" t="s">
        <v>31</v>
      </c>
      <c r="I332" s="3" t="s">
        <v>31</v>
      </c>
      <c r="J332" s="3" t="s">
        <v>31</v>
      </c>
      <c r="K332" s="7" t="s">
        <v>53</v>
      </c>
      <c r="L332" s="9">
        <v>10</v>
      </c>
      <c r="M332" s="9">
        <v>0</v>
      </c>
      <c r="N332" s="9">
        <f t="shared" si="29"/>
        <v>10</v>
      </c>
      <c r="O332" s="9"/>
      <c r="P332" s="9"/>
      <c r="Q332" s="25"/>
      <c r="R332" s="11">
        <v>0</v>
      </c>
      <c r="S332" s="1">
        <v>0.11</v>
      </c>
      <c r="T332" s="1">
        <f t="shared" si="30"/>
        <v>0.11</v>
      </c>
      <c r="U332" s="12">
        <v>0</v>
      </c>
      <c r="V332" s="13">
        <v>20.323775000000001</v>
      </c>
      <c r="W332" s="14">
        <f t="shared" si="31"/>
        <v>2235.6152499999998</v>
      </c>
      <c r="X332" s="25"/>
      <c r="Y332" s="14">
        <f t="shared" si="32"/>
        <v>2235.6152499999998</v>
      </c>
      <c r="Z332" s="3"/>
      <c r="AA332" s="3"/>
      <c r="AB332" s="5"/>
      <c r="AC332" s="5"/>
      <c r="AD332" s="32"/>
      <c r="AE332" s="32"/>
      <c r="AF332" s="3"/>
      <c r="AG332" s="7"/>
      <c r="AH332" s="7"/>
      <c r="AI332" s="3" t="s">
        <v>107</v>
      </c>
      <c r="AJ332" s="7" t="s">
        <v>53</v>
      </c>
      <c r="AK332" s="3"/>
      <c r="AL332" cm="1">
        <f t="array" ref="AL332">IF(getColor(V332) = 16777215, 0, 1)</f>
        <v>0</v>
      </c>
    </row>
    <row r="333" spans="1:38">
      <c r="A333" s="1">
        <v>332</v>
      </c>
      <c r="B333" s="3" t="s">
        <v>27</v>
      </c>
      <c r="C333" s="7" t="s">
        <v>229</v>
      </c>
      <c r="D333" s="7" t="s">
        <v>230</v>
      </c>
      <c r="E333" s="8">
        <v>56.916600000000003</v>
      </c>
      <c r="F333" s="8">
        <v>-132.82909999999998</v>
      </c>
      <c r="G333" s="9" t="s">
        <v>30</v>
      </c>
      <c r="H333" s="3" t="s">
        <v>31</v>
      </c>
      <c r="I333" s="3" t="s">
        <v>31</v>
      </c>
      <c r="J333" s="3" t="s">
        <v>31</v>
      </c>
      <c r="K333" s="34" t="s">
        <v>47</v>
      </c>
      <c r="L333" s="27">
        <v>0</v>
      </c>
      <c r="M333" s="27">
        <v>3</v>
      </c>
      <c r="N333" s="9">
        <f t="shared" si="29"/>
        <v>3</v>
      </c>
      <c r="O333" s="9"/>
      <c r="P333" s="9"/>
      <c r="Q333" s="25"/>
      <c r="R333" s="11">
        <v>0</v>
      </c>
      <c r="S333" s="1">
        <v>0.93</v>
      </c>
      <c r="T333" s="1">
        <f t="shared" si="30"/>
        <v>0.93</v>
      </c>
      <c r="U333" s="12">
        <v>0</v>
      </c>
      <c r="V333" s="31">
        <v>5.8390833333333338</v>
      </c>
      <c r="W333" s="14">
        <f t="shared" si="31"/>
        <v>1629.1042500000003</v>
      </c>
      <c r="X333" s="25"/>
      <c r="Y333" s="14">
        <f t="shared" si="32"/>
        <v>1629.1042500000003</v>
      </c>
      <c r="Z333" s="3"/>
      <c r="AA333" s="3"/>
      <c r="AB333" s="5"/>
      <c r="AC333" s="1"/>
      <c r="AD333" s="28"/>
      <c r="AE333" s="28"/>
      <c r="AF333" s="3"/>
      <c r="AG333" s="7"/>
      <c r="AH333" s="34"/>
      <c r="AI333" s="3" t="s">
        <v>107</v>
      </c>
      <c r="AJ333" s="34" t="s">
        <v>47</v>
      </c>
      <c r="AK333" s="3"/>
      <c r="AL333" cm="1">
        <f t="array" ref="AL333">IF(getColor(V333) = 16777215, 0, 1)</f>
        <v>1</v>
      </c>
    </row>
    <row r="334" spans="1:38">
      <c r="A334" s="1">
        <v>333</v>
      </c>
      <c r="B334" s="3" t="s">
        <v>27</v>
      </c>
      <c r="C334" s="7" t="s">
        <v>229</v>
      </c>
      <c r="D334" s="7" t="s">
        <v>230</v>
      </c>
      <c r="E334" s="8">
        <v>56.916600000000003</v>
      </c>
      <c r="F334" s="8">
        <v>-132.82909999999998</v>
      </c>
      <c r="G334" s="9" t="s">
        <v>30</v>
      </c>
      <c r="H334" s="3" t="s">
        <v>31</v>
      </c>
      <c r="I334" s="3" t="s">
        <v>31</v>
      </c>
      <c r="J334" s="3" t="s">
        <v>31</v>
      </c>
      <c r="K334" s="7" t="s">
        <v>69</v>
      </c>
      <c r="L334" s="9">
        <v>3</v>
      </c>
      <c r="M334" s="9">
        <v>5</v>
      </c>
      <c r="N334" s="9">
        <f t="shared" si="29"/>
        <v>2</v>
      </c>
      <c r="O334" s="9"/>
      <c r="P334" s="9"/>
      <c r="Q334" s="25"/>
      <c r="R334" s="11">
        <v>0</v>
      </c>
      <c r="S334" s="1">
        <v>1.17</v>
      </c>
      <c r="T334" s="1">
        <f t="shared" si="30"/>
        <v>1.17</v>
      </c>
      <c r="U334" s="12">
        <v>12</v>
      </c>
      <c r="V334" s="13">
        <v>7.9170999999999996</v>
      </c>
      <c r="W334" s="14">
        <f t="shared" si="31"/>
        <v>1630.2892319999996</v>
      </c>
      <c r="X334" s="25"/>
      <c r="Y334" s="14">
        <f t="shared" si="32"/>
        <v>1630.2892319999996</v>
      </c>
      <c r="Z334" s="3"/>
      <c r="AA334" s="3"/>
      <c r="AB334" s="5"/>
      <c r="AC334" s="1"/>
      <c r="AD334" s="32"/>
      <c r="AE334" s="32"/>
      <c r="AF334" s="3"/>
      <c r="AG334" s="7"/>
      <c r="AH334" s="7"/>
      <c r="AI334" s="3" t="s">
        <v>107</v>
      </c>
      <c r="AJ334" s="7" t="s">
        <v>70</v>
      </c>
      <c r="AK334" s="3"/>
      <c r="AL334" cm="1">
        <f t="array" ref="AL334">IF(getColor(V334) = 16777215, 0, 1)</f>
        <v>0</v>
      </c>
    </row>
    <row r="335" spans="1:38">
      <c r="A335" s="1">
        <v>334</v>
      </c>
      <c r="B335" s="3" t="s">
        <v>27</v>
      </c>
      <c r="C335" s="7" t="s">
        <v>229</v>
      </c>
      <c r="D335" s="7" t="s">
        <v>230</v>
      </c>
      <c r="E335" s="8">
        <v>56.916600000000003</v>
      </c>
      <c r="F335" s="8">
        <v>-132.82909999999998</v>
      </c>
      <c r="G335" s="9" t="s">
        <v>30</v>
      </c>
      <c r="H335" s="3" t="s">
        <v>31</v>
      </c>
      <c r="I335" s="3" t="s">
        <v>31</v>
      </c>
      <c r="J335" s="3" t="s">
        <v>31</v>
      </c>
      <c r="K335" s="7" t="s">
        <v>71</v>
      </c>
      <c r="L335" s="9">
        <v>5</v>
      </c>
      <c r="M335" s="9">
        <v>10</v>
      </c>
      <c r="N335" s="9">
        <f t="shared" si="29"/>
        <v>5</v>
      </c>
      <c r="O335" s="9"/>
      <c r="P335" s="9"/>
      <c r="Q335" s="25"/>
      <c r="R335" s="11">
        <v>0</v>
      </c>
      <c r="S335" s="1">
        <v>1.17</v>
      </c>
      <c r="T335" s="1">
        <f t="shared" si="30"/>
        <v>1.17</v>
      </c>
      <c r="U335" s="12">
        <v>17</v>
      </c>
      <c r="V335" s="13">
        <v>4.6730200000000002</v>
      </c>
      <c r="W335" s="14">
        <f t="shared" si="31"/>
        <v>2268.9848609999999</v>
      </c>
      <c r="X335" s="25"/>
      <c r="Y335" s="14">
        <f t="shared" si="32"/>
        <v>2268.9848609999999</v>
      </c>
      <c r="Z335" s="3"/>
      <c r="AA335" s="3"/>
      <c r="AB335" s="5"/>
      <c r="AC335" s="1"/>
      <c r="AD335" s="28"/>
      <c r="AE335" s="28"/>
      <c r="AF335" s="3"/>
      <c r="AG335" s="7"/>
      <c r="AH335" s="7"/>
      <c r="AI335" s="3" t="s">
        <v>107</v>
      </c>
      <c r="AJ335" s="7" t="s">
        <v>72</v>
      </c>
      <c r="AK335" s="3"/>
      <c r="AL335" cm="1">
        <f t="array" ref="AL335">IF(getColor(V335) = 16777215, 0, 1)</f>
        <v>0</v>
      </c>
    </row>
    <row r="336" spans="1:38">
      <c r="A336" s="1">
        <v>335</v>
      </c>
      <c r="B336" s="3" t="s">
        <v>27</v>
      </c>
      <c r="C336" s="7" t="s">
        <v>229</v>
      </c>
      <c r="D336" s="7" t="s">
        <v>230</v>
      </c>
      <c r="E336" s="8">
        <v>56.916600000000003</v>
      </c>
      <c r="F336" s="8">
        <v>-132.82909999999998</v>
      </c>
      <c r="G336" s="9" t="s">
        <v>30</v>
      </c>
      <c r="H336" s="3" t="s">
        <v>31</v>
      </c>
      <c r="I336" s="3" t="s">
        <v>31</v>
      </c>
      <c r="J336" s="3" t="s">
        <v>31</v>
      </c>
      <c r="K336" s="7" t="s">
        <v>175</v>
      </c>
      <c r="L336" s="9">
        <v>10</v>
      </c>
      <c r="M336" s="9">
        <v>23</v>
      </c>
      <c r="N336" s="9">
        <f t="shared" si="29"/>
        <v>13</v>
      </c>
      <c r="O336" s="9"/>
      <c r="P336" s="9"/>
      <c r="Q336" s="25"/>
      <c r="R336" s="11">
        <v>0</v>
      </c>
      <c r="S336" s="1">
        <v>1.71</v>
      </c>
      <c r="T336" s="1">
        <f t="shared" si="30"/>
        <v>1.71</v>
      </c>
      <c r="U336" s="12">
        <v>27</v>
      </c>
      <c r="V336" s="13">
        <v>2.0372049999999997</v>
      </c>
      <c r="W336" s="14">
        <f t="shared" si="31"/>
        <v>3305.9559019499993</v>
      </c>
      <c r="X336" s="25"/>
      <c r="Y336" s="14">
        <f t="shared" si="32"/>
        <v>3305.9559019499993</v>
      </c>
      <c r="Z336" s="3"/>
      <c r="AA336" s="3"/>
      <c r="AB336" s="5"/>
      <c r="AC336" s="1"/>
      <c r="AD336" s="28"/>
      <c r="AE336" s="28"/>
      <c r="AF336" s="3"/>
      <c r="AG336" s="7"/>
      <c r="AH336" s="7"/>
      <c r="AI336" s="3" t="s">
        <v>107</v>
      </c>
      <c r="AJ336" s="7" t="s">
        <v>175</v>
      </c>
      <c r="AK336" s="3"/>
      <c r="AL336" cm="1">
        <f t="array" ref="AL336">IF(getColor(V336) = 16777215, 0, 1)</f>
        <v>0</v>
      </c>
    </row>
    <row r="337" spans="1:38">
      <c r="A337" s="1">
        <v>336</v>
      </c>
      <c r="B337" s="3" t="s">
        <v>27</v>
      </c>
      <c r="C337" s="7" t="s">
        <v>229</v>
      </c>
      <c r="D337" s="7" t="s">
        <v>230</v>
      </c>
      <c r="E337" s="8">
        <v>56.916600000000003</v>
      </c>
      <c r="F337" s="8">
        <v>-132.82909999999998</v>
      </c>
      <c r="G337" s="9" t="s">
        <v>30</v>
      </c>
      <c r="H337" s="3" t="s">
        <v>31</v>
      </c>
      <c r="I337" s="3" t="s">
        <v>31</v>
      </c>
      <c r="J337" s="3" t="s">
        <v>31</v>
      </c>
      <c r="K337" s="7" t="s">
        <v>38</v>
      </c>
      <c r="L337" s="9">
        <v>23</v>
      </c>
      <c r="M337" s="9">
        <v>152</v>
      </c>
      <c r="N337" s="9">
        <f t="shared" si="29"/>
        <v>129</v>
      </c>
      <c r="O337" s="9"/>
      <c r="P337" s="9"/>
      <c r="Q337" s="25"/>
      <c r="R337" s="11">
        <v>0</v>
      </c>
      <c r="S337" s="1">
        <v>1.74</v>
      </c>
      <c r="T337" s="1">
        <f t="shared" si="30"/>
        <v>1.74</v>
      </c>
      <c r="U337" s="12">
        <v>42</v>
      </c>
      <c r="V337" s="13">
        <v>0.28965000000000002</v>
      </c>
      <c r="W337" s="14">
        <f t="shared" si="31"/>
        <v>3770.8606620000005</v>
      </c>
      <c r="X337" s="25"/>
      <c r="Y337" s="14">
        <f>IF(L337&gt;-100,W337-W337*(ABS(M337)-100)/(ABS(M337)-ABS(L337)),0)</f>
        <v>2250.8238060000003</v>
      </c>
      <c r="Z337" s="3"/>
      <c r="AA337" s="3"/>
      <c r="AB337" s="5"/>
      <c r="AC337" s="1"/>
      <c r="AD337" s="28"/>
      <c r="AE337" s="28"/>
      <c r="AF337" s="3"/>
      <c r="AG337" s="7"/>
      <c r="AH337" s="7"/>
      <c r="AI337" s="3" t="s">
        <v>107</v>
      </c>
      <c r="AJ337" s="7" t="s">
        <v>38</v>
      </c>
      <c r="AK337" s="3"/>
      <c r="AL337" cm="1">
        <f t="array" ref="AL337">IF(getColor(V337) = 16777215, 0, 1)</f>
        <v>0</v>
      </c>
    </row>
    <row r="338" spans="1:38">
      <c r="A338" s="1">
        <v>337</v>
      </c>
      <c r="B338" s="3" t="s">
        <v>27</v>
      </c>
      <c r="C338" s="7" t="s">
        <v>231</v>
      </c>
      <c r="D338" s="7" t="s">
        <v>232</v>
      </c>
      <c r="E338" s="8">
        <v>56.916600000000003</v>
      </c>
      <c r="F338" s="8">
        <v>-132.83187777777778</v>
      </c>
      <c r="G338" s="9" t="s">
        <v>30</v>
      </c>
      <c r="H338" s="3" t="s">
        <v>31</v>
      </c>
      <c r="I338" s="3" t="s">
        <v>31</v>
      </c>
      <c r="J338" s="3" t="s">
        <v>31</v>
      </c>
      <c r="K338" s="7" t="s">
        <v>53</v>
      </c>
      <c r="L338" s="9">
        <v>15</v>
      </c>
      <c r="M338" s="9">
        <v>0</v>
      </c>
      <c r="N338" s="9">
        <f t="shared" si="29"/>
        <v>15</v>
      </c>
      <c r="O338" s="29">
        <f>M343</f>
        <v>152</v>
      </c>
      <c r="P338" s="29">
        <f>L338</f>
        <v>15</v>
      </c>
      <c r="Q338" s="29">
        <f>P338+O338</f>
        <v>167</v>
      </c>
      <c r="R338" s="11">
        <v>0</v>
      </c>
      <c r="S338" s="1">
        <v>0.11</v>
      </c>
      <c r="T338" s="1">
        <f t="shared" si="30"/>
        <v>0.11</v>
      </c>
      <c r="U338" s="12">
        <v>0</v>
      </c>
      <c r="V338" s="13">
        <v>45.600564999999996</v>
      </c>
      <c r="W338" s="14">
        <f t="shared" si="31"/>
        <v>7524.0932249999987</v>
      </c>
      <c r="X338" s="14">
        <f>SUM(W338:W343)</f>
        <v>17155.662471</v>
      </c>
      <c r="Y338" s="14">
        <f>T338*V338/100*N338*100*100*((100-U338)/100)</f>
        <v>7524.0932249999987</v>
      </c>
      <c r="Z338" s="15">
        <f>SUM(Y338:Y343)/10^6*10^4</f>
        <v>156.61833147000002</v>
      </c>
      <c r="AA338" s="16">
        <v>49.739143456709677</v>
      </c>
      <c r="AB338" s="5"/>
      <c r="AC338" s="1"/>
      <c r="AD338" s="28"/>
      <c r="AE338" s="28"/>
      <c r="AF338" s="3"/>
      <c r="AG338" s="7"/>
      <c r="AH338" s="7"/>
      <c r="AI338" s="3" t="s">
        <v>107</v>
      </c>
      <c r="AJ338" s="7" t="s">
        <v>53</v>
      </c>
      <c r="AK338" s="3"/>
      <c r="AL338" cm="1">
        <f t="array" ref="AL338">IF(getColor(V338) = 16777215, 0, 1)</f>
        <v>0</v>
      </c>
    </row>
    <row r="339" spans="1:38">
      <c r="A339" s="1">
        <v>338</v>
      </c>
      <c r="B339" s="3" t="s">
        <v>27</v>
      </c>
      <c r="C339" s="7" t="s">
        <v>231</v>
      </c>
      <c r="D339" s="7" t="s">
        <v>232</v>
      </c>
      <c r="E339" s="8">
        <v>56.916600000000003</v>
      </c>
      <c r="F339" s="8">
        <v>-132.83187777777778</v>
      </c>
      <c r="G339" s="9" t="s">
        <v>30</v>
      </c>
      <c r="H339" s="3" t="s">
        <v>31</v>
      </c>
      <c r="I339" s="3" t="s">
        <v>31</v>
      </c>
      <c r="J339" s="3" t="s">
        <v>31</v>
      </c>
      <c r="K339" s="7" t="s">
        <v>87</v>
      </c>
      <c r="L339" s="9">
        <v>0</v>
      </c>
      <c r="M339" s="9">
        <v>5</v>
      </c>
      <c r="N339" s="9">
        <f t="shared" si="29"/>
        <v>5</v>
      </c>
      <c r="O339" s="9"/>
      <c r="P339" s="9"/>
      <c r="Q339" s="25"/>
      <c r="R339" s="11">
        <v>0</v>
      </c>
      <c r="S339" s="1">
        <v>0.93</v>
      </c>
      <c r="T339" s="1">
        <f t="shared" si="30"/>
        <v>0.93</v>
      </c>
      <c r="U339" s="12">
        <v>3</v>
      </c>
      <c r="V339" s="13">
        <v>0.42482000000000003</v>
      </c>
      <c r="W339" s="14">
        <f t="shared" si="31"/>
        <v>191.61506100000005</v>
      </c>
      <c r="X339" s="25"/>
      <c r="Y339" s="14">
        <f>T339*V339/100*N339*100*100*((100-U339)/100)</f>
        <v>191.61506100000005</v>
      </c>
      <c r="Z339" s="3"/>
      <c r="AA339" s="3"/>
      <c r="AB339" s="5"/>
      <c r="AC339" s="5"/>
      <c r="AD339" s="28"/>
      <c r="AE339" s="28"/>
      <c r="AF339" s="3"/>
      <c r="AG339" s="7"/>
      <c r="AH339" s="7"/>
      <c r="AI339" s="3" t="s">
        <v>107</v>
      </c>
      <c r="AJ339" s="7" t="s">
        <v>87</v>
      </c>
      <c r="AK339" s="3"/>
      <c r="AL339" cm="1">
        <f t="array" ref="AL339">IF(getColor(V339) = 16777215, 0, 1)</f>
        <v>0</v>
      </c>
    </row>
    <row r="340" spans="1:38">
      <c r="A340" s="1">
        <v>339</v>
      </c>
      <c r="B340" s="3" t="s">
        <v>27</v>
      </c>
      <c r="C340" s="7" t="s">
        <v>231</v>
      </c>
      <c r="D340" s="7" t="s">
        <v>232</v>
      </c>
      <c r="E340" s="8">
        <v>56.916600000000003</v>
      </c>
      <c r="F340" s="8">
        <v>-132.83187777777778</v>
      </c>
      <c r="G340" s="9" t="s">
        <v>30</v>
      </c>
      <c r="H340" s="3" t="s">
        <v>31</v>
      </c>
      <c r="I340" s="3" t="s">
        <v>31</v>
      </c>
      <c r="J340" s="3" t="s">
        <v>31</v>
      </c>
      <c r="K340" s="7" t="s">
        <v>77</v>
      </c>
      <c r="L340" s="9">
        <v>5</v>
      </c>
      <c r="M340" s="9">
        <v>23</v>
      </c>
      <c r="N340" s="9">
        <f t="shared" si="29"/>
        <v>18</v>
      </c>
      <c r="O340" s="9"/>
      <c r="P340" s="9"/>
      <c r="Q340" s="25"/>
      <c r="R340" s="11">
        <v>0</v>
      </c>
      <c r="S340" s="1">
        <v>0.86</v>
      </c>
      <c r="T340" s="1">
        <f t="shared" si="30"/>
        <v>0.86</v>
      </c>
      <c r="U340" s="12">
        <v>9</v>
      </c>
      <c r="V340" s="13">
        <v>2.0275500000000002</v>
      </c>
      <c r="W340" s="14">
        <f t="shared" si="31"/>
        <v>2856.1691340000007</v>
      </c>
      <c r="X340" s="25"/>
      <c r="Y340" s="14">
        <f>T340*V340/100*N340*100*100*((100-U340)/100)</f>
        <v>2856.1691340000007</v>
      </c>
      <c r="Z340" s="3"/>
      <c r="AA340" s="3"/>
      <c r="AB340" s="5"/>
      <c r="AC340" s="1"/>
      <c r="AD340" s="28"/>
      <c r="AE340" s="28"/>
      <c r="AF340" s="3"/>
      <c r="AG340" s="7"/>
      <c r="AH340" s="7"/>
      <c r="AI340" s="3" t="s">
        <v>107</v>
      </c>
      <c r="AJ340" s="7" t="s">
        <v>78</v>
      </c>
      <c r="AK340" s="3"/>
      <c r="AL340" cm="1">
        <f t="array" ref="AL340">IF(getColor(V340) = 16777215, 0, 1)</f>
        <v>0</v>
      </c>
    </row>
    <row r="341" spans="1:38">
      <c r="A341" s="1">
        <v>340</v>
      </c>
      <c r="B341" s="3" t="s">
        <v>27</v>
      </c>
      <c r="C341" s="7" t="s">
        <v>231</v>
      </c>
      <c r="D341" s="7" t="s">
        <v>232</v>
      </c>
      <c r="E341" s="8">
        <v>56.916600000000003</v>
      </c>
      <c r="F341" s="8">
        <v>-132.83187777777778</v>
      </c>
      <c r="G341" s="9" t="s">
        <v>30</v>
      </c>
      <c r="H341" s="3" t="s">
        <v>31</v>
      </c>
      <c r="I341" s="3" t="s">
        <v>31</v>
      </c>
      <c r="J341" s="3" t="s">
        <v>31</v>
      </c>
      <c r="K341" s="7" t="s">
        <v>41</v>
      </c>
      <c r="L341" s="9">
        <v>23</v>
      </c>
      <c r="M341" s="9">
        <v>38</v>
      </c>
      <c r="N341" s="9">
        <f t="shared" si="29"/>
        <v>15</v>
      </c>
      <c r="O341" s="9"/>
      <c r="P341" s="9"/>
      <c r="Q341" s="25"/>
      <c r="R341" s="11">
        <v>0</v>
      </c>
      <c r="S341" s="1">
        <v>1.17</v>
      </c>
      <c r="T341" s="1">
        <f t="shared" si="30"/>
        <v>1.17</v>
      </c>
      <c r="U341" s="12">
        <v>0</v>
      </c>
      <c r="V341" s="13">
        <v>0.91722499999999996</v>
      </c>
      <c r="W341" s="14">
        <f t="shared" si="31"/>
        <v>1609.7298749999998</v>
      </c>
      <c r="X341" s="25"/>
      <c r="Y341" s="14">
        <f>T341*V341/100*N341*100*100*((100-U341)/100)</f>
        <v>1609.7298749999998</v>
      </c>
      <c r="Z341" s="3"/>
      <c r="AA341" s="3"/>
      <c r="AB341" s="5"/>
      <c r="AC341" s="1"/>
      <c r="AD341" s="28"/>
      <c r="AE341" s="28"/>
      <c r="AF341" s="3"/>
      <c r="AG341" s="7"/>
      <c r="AH341" s="7"/>
      <c r="AI341" s="3" t="s">
        <v>107</v>
      </c>
      <c r="AJ341" s="7" t="s">
        <v>61</v>
      </c>
      <c r="AK341" s="3"/>
      <c r="AL341" cm="1">
        <f t="array" ref="AL341">IF(getColor(V341) = 16777215, 0, 1)</f>
        <v>0</v>
      </c>
    </row>
    <row r="342" spans="1:38">
      <c r="A342" s="1">
        <v>341</v>
      </c>
      <c r="B342" s="3" t="s">
        <v>27</v>
      </c>
      <c r="C342" s="7" t="s">
        <v>231</v>
      </c>
      <c r="D342" s="7" t="s">
        <v>232</v>
      </c>
      <c r="E342" s="8">
        <v>56.916600000000003</v>
      </c>
      <c r="F342" s="8">
        <v>-132.83187777777778</v>
      </c>
      <c r="G342" s="9" t="s">
        <v>30</v>
      </c>
      <c r="H342" s="3" t="s">
        <v>31</v>
      </c>
      <c r="I342" s="3" t="s">
        <v>31</v>
      </c>
      <c r="J342" s="3" t="s">
        <v>31</v>
      </c>
      <c r="K342" s="7" t="s">
        <v>44</v>
      </c>
      <c r="L342" s="9">
        <v>38</v>
      </c>
      <c r="M342" s="9">
        <v>64</v>
      </c>
      <c r="N342" s="9">
        <f t="shared" si="29"/>
        <v>26</v>
      </c>
      <c r="O342" s="9"/>
      <c r="P342" s="9"/>
      <c r="Q342" s="25"/>
      <c r="R342" s="11">
        <v>0</v>
      </c>
      <c r="S342" s="1">
        <v>1.74</v>
      </c>
      <c r="T342" s="1">
        <f t="shared" si="30"/>
        <v>1.74</v>
      </c>
      <c r="U342" s="12">
        <v>0</v>
      </c>
      <c r="V342" s="13">
        <v>0.54068000000000005</v>
      </c>
      <c r="W342" s="14">
        <f t="shared" si="31"/>
        <v>2446.0363200000002</v>
      </c>
      <c r="X342" s="25"/>
      <c r="Y342" s="14">
        <f>T342*V342/100*N342*100*100*((100-U342)/100)</f>
        <v>2446.0363200000002</v>
      </c>
      <c r="Z342" s="3"/>
      <c r="AA342" s="3"/>
      <c r="AB342" s="5"/>
      <c r="AC342" s="1"/>
      <c r="AD342" s="28"/>
      <c r="AE342" s="28"/>
      <c r="AF342" s="3"/>
      <c r="AG342" s="7"/>
      <c r="AH342" s="7"/>
      <c r="AI342" s="3" t="s">
        <v>107</v>
      </c>
      <c r="AJ342" s="7" t="s">
        <v>44</v>
      </c>
      <c r="AK342" s="3"/>
      <c r="AL342" cm="1">
        <f t="array" ref="AL342">IF(getColor(V342) = 16777215, 0, 1)</f>
        <v>0</v>
      </c>
    </row>
    <row r="343" spans="1:38">
      <c r="A343" s="1">
        <v>342</v>
      </c>
      <c r="B343" s="3" t="s">
        <v>27</v>
      </c>
      <c r="C343" s="7" t="s">
        <v>231</v>
      </c>
      <c r="D343" s="7" t="s">
        <v>232</v>
      </c>
      <c r="E343" s="8">
        <v>56.916600000000003</v>
      </c>
      <c r="F343" s="8">
        <v>-132.83187777777778</v>
      </c>
      <c r="G343" s="9" t="s">
        <v>30</v>
      </c>
      <c r="H343" s="3" t="s">
        <v>31</v>
      </c>
      <c r="I343" s="3" t="s">
        <v>31</v>
      </c>
      <c r="J343" s="3" t="s">
        <v>31</v>
      </c>
      <c r="K343" s="7" t="s">
        <v>38</v>
      </c>
      <c r="L343" s="9">
        <v>64</v>
      </c>
      <c r="M343" s="9">
        <v>152</v>
      </c>
      <c r="N343" s="9">
        <f t="shared" si="29"/>
        <v>88</v>
      </c>
      <c r="O343" s="9"/>
      <c r="P343" s="9"/>
      <c r="Q343" s="25"/>
      <c r="R343" s="11">
        <v>0</v>
      </c>
      <c r="S343" s="1">
        <v>1.74</v>
      </c>
      <c r="T343" s="1">
        <f t="shared" si="30"/>
        <v>1.74</v>
      </c>
      <c r="U343" s="12">
        <v>5</v>
      </c>
      <c r="V343" s="13">
        <v>0.17379</v>
      </c>
      <c r="W343" s="14">
        <f t="shared" si="31"/>
        <v>2528.0188560000001</v>
      </c>
      <c r="X343" s="25"/>
      <c r="Y343" s="14">
        <f>IF(L343&gt;-100,W343-W343*(ABS(M343)-100)/(ABS(M343)-ABS(L343)),0)</f>
        <v>1034.1895320000001</v>
      </c>
      <c r="Z343" s="3"/>
      <c r="AA343" s="3"/>
      <c r="AB343" s="5"/>
      <c r="AC343" s="1"/>
      <c r="AD343" s="28"/>
      <c r="AE343" s="28"/>
      <c r="AF343" s="3"/>
      <c r="AG343" s="7"/>
      <c r="AH343" s="7"/>
      <c r="AI343" s="3" t="s">
        <v>107</v>
      </c>
      <c r="AJ343" s="7" t="s">
        <v>38</v>
      </c>
      <c r="AK343" s="3"/>
      <c r="AL343" cm="1">
        <f t="array" ref="AL343">IF(getColor(V343) = 16777215, 0, 1)</f>
        <v>0</v>
      </c>
    </row>
    <row r="344" spans="1:38">
      <c r="A344" s="1">
        <v>343</v>
      </c>
      <c r="B344" s="3" t="s">
        <v>27</v>
      </c>
      <c r="C344" s="7" t="s">
        <v>233</v>
      </c>
      <c r="D344" s="7" t="s">
        <v>234</v>
      </c>
      <c r="E344" s="8">
        <v>56.923544444444445</v>
      </c>
      <c r="F344" s="8">
        <v>-133.81111111111113</v>
      </c>
      <c r="G344" s="9" t="s">
        <v>30</v>
      </c>
      <c r="H344" s="3" t="s">
        <v>31</v>
      </c>
      <c r="I344" s="3" t="s">
        <v>31</v>
      </c>
      <c r="J344" s="3" t="s">
        <v>31</v>
      </c>
      <c r="K344" s="7" t="s">
        <v>49</v>
      </c>
      <c r="L344" s="9">
        <v>25</v>
      </c>
      <c r="M344" s="9">
        <v>18</v>
      </c>
      <c r="N344" s="9">
        <f t="shared" si="29"/>
        <v>7</v>
      </c>
      <c r="O344" s="29">
        <f>M351</f>
        <v>152</v>
      </c>
      <c r="P344" s="29">
        <f>L344</f>
        <v>25</v>
      </c>
      <c r="Q344" s="29">
        <f>P344+O344</f>
        <v>177</v>
      </c>
      <c r="R344" s="11">
        <v>0</v>
      </c>
      <c r="S344" s="1">
        <v>0.08</v>
      </c>
      <c r="T344" s="1">
        <f t="shared" si="30"/>
        <v>0.08</v>
      </c>
      <c r="U344" s="12">
        <v>0</v>
      </c>
      <c r="V344" s="13">
        <v>51.866660000000003</v>
      </c>
      <c r="W344" s="14">
        <f t="shared" si="31"/>
        <v>2904.5329600000009</v>
      </c>
      <c r="X344" s="14">
        <f>SUM(W344:W351)</f>
        <v>52507.526073000008</v>
      </c>
      <c r="Y344" s="14">
        <f t="shared" ref="Y344:Y350" si="33">T344*V344/100*N344*100*100*((100-U344)/100)</f>
        <v>2904.5329600000009</v>
      </c>
      <c r="Z344" s="15">
        <f>SUM(Y344:Y351)/10^6*10^4</f>
        <v>502.36206633000012</v>
      </c>
      <c r="AA344" s="16">
        <v>107.13173899677238</v>
      </c>
      <c r="AB344" s="5"/>
      <c r="AC344" s="1"/>
      <c r="AD344" s="28"/>
      <c r="AE344" s="28"/>
      <c r="AF344" s="3"/>
      <c r="AG344" s="7"/>
      <c r="AH344" s="7"/>
      <c r="AI344" s="3" t="s">
        <v>59</v>
      </c>
      <c r="AJ344" s="7" t="s">
        <v>60</v>
      </c>
      <c r="AK344" s="3"/>
      <c r="AL344" cm="1">
        <f t="array" ref="AL344">IF(getColor(V344) = 16777215, 0, 1)</f>
        <v>0</v>
      </c>
    </row>
    <row r="345" spans="1:38">
      <c r="A345" s="1">
        <v>344</v>
      </c>
      <c r="B345" s="3" t="s">
        <v>27</v>
      </c>
      <c r="C345" s="7" t="s">
        <v>233</v>
      </c>
      <c r="D345" s="7" t="s">
        <v>234</v>
      </c>
      <c r="E345" s="8">
        <v>56.923544444444445</v>
      </c>
      <c r="F345" s="8">
        <v>-133.81111111111113</v>
      </c>
      <c r="G345" s="9" t="s">
        <v>30</v>
      </c>
      <c r="H345" s="3" t="s">
        <v>31</v>
      </c>
      <c r="I345" s="3" t="s">
        <v>31</v>
      </c>
      <c r="J345" s="3" t="s">
        <v>31</v>
      </c>
      <c r="K345" s="7" t="s">
        <v>52</v>
      </c>
      <c r="L345" s="9">
        <v>18</v>
      </c>
      <c r="M345" s="9">
        <v>0</v>
      </c>
      <c r="N345" s="9">
        <f t="shared" si="29"/>
        <v>18</v>
      </c>
      <c r="O345" s="9"/>
      <c r="P345" s="9"/>
      <c r="Q345" s="25"/>
      <c r="R345" s="11">
        <v>0</v>
      </c>
      <c r="S345" s="1">
        <v>0.15</v>
      </c>
      <c r="T345" s="1">
        <f t="shared" si="30"/>
        <v>0.15</v>
      </c>
      <c r="U345" s="12">
        <v>0</v>
      </c>
      <c r="V345" s="13">
        <v>54.261100000000006</v>
      </c>
      <c r="W345" s="14">
        <f t="shared" si="31"/>
        <v>14650.497000000001</v>
      </c>
      <c r="X345" s="25"/>
      <c r="Y345" s="14">
        <f t="shared" si="33"/>
        <v>14650.497000000001</v>
      </c>
      <c r="Z345" s="3"/>
      <c r="AA345" s="3"/>
      <c r="AB345" s="5"/>
      <c r="AC345" s="5"/>
      <c r="AD345" s="28"/>
      <c r="AE345" s="28"/>
      <c r="AF345" s="3"/>
      <c r="AG345" s="7"/>
      <c r="AH345" s="7"/>
      <c r="AI345" s="3" t="s">
        <v>59</v>
      </c>
      <c r="AJ345" s="7" t="s">
        <v>76</v>
      </c>
      <c r="AK345" s="3"/>
      <c r="AL345" cm="1">
        <f t="array" ref="AL345">IF(getColor(V345) = 16777215, 0, 1)</f>
        <v>0</v>
      </c>
    </row>
    <row r="346" spans="1:38">
      <c r="A346" s="1">
        <v>345</v>
      </c>
      <c r="B346" s="3" t="s">
        <v>27</v>
      </c>
      <c r="C346" s="7" t="s">
        <v>233</v>
      </c>
      <c r="D346" s="7" t="s">
        <v>234</v>
      </c>
      <c r="E346" s="8">
        <v>56.923544444444445</v>
      </c>
      <c r="F346" s="8">
        <v>-133.81111111111113</v>
      </c>
      <c r="G346" s="9" t="s">
        <v>30</v>
      </c>
      <c r="H346" s="3" t="s">
        <v>31</v>
      </c>
      <c r="I346" s="3" t="s">
        <v>31</v>
      </c>
      <c r="J346" s="3" t="s">
        <v>31</v>
      </c>
      <c r="K346" s="7" t="s">
        <v>47</v>
      </c>
      <c r="L346" s="9">
        <v>0</v>
      </c>
      <c r="M346" s="9">
        <v>8</v>
      </c>
      <c r="N346" s="9">
        <f t="shared" si="29"/>
        <v>8</v>
      </c>
      <c r="O346" s="9"/>
      <c r="P346" s="9"/>
      <c r="Q346" s="25"/>
      <c r="R346" s="11">
        <v>0</v>
      </c>
      <c r="S346" s="1">
        <v>0.93</v>
      </c>
      <c r="T346" s="1">
        <f t="shared" si="30"/>
        <v>0.93</v>
      </c>
      <c r="U346" s="12">
        <v>9</v>
      </c>
      <c r="V346" s="13">
        <v>14.385950000000001</v>
      </c>
      <c r="W346" s="14">
        <f t="shared" si="31"/>
        <v>9739.8635880000002</v>
      </c>
      <c r="X346" s="25"/>
      <c r="Y346" s="14">
        <f t="shared" si="33"/>
        <v>9739.8635880000002</v>
      </c>
      <c r="Z346" s="3"/>
      <c r="AA346" s="3"/>
      <c r="AB346" s="5"/>
      <c r="AC346" s="1"/>
      <c r="AD346" s="28"/>
      <c r="AE346" s="28"/>
      <c r="AF346" s="3"/>
      <c r="AG346" s="7"/>
      <c r="AH346" s="7"/>
      <c r="AI346" s="3" t="s">
        <v>59</v>
      </c>
      <c r="AJ346" s="7" t="s">
        <v>47</v>
      </c>
      <c r="AK346" s="3"/>
      <c r="AL346" cm="1">
        <f t="array" ref="AL346">IF(getColor(V346) = 16777215, 0, 1)</f>
        <v>0</v>
      </c>
    </row>
    <row r="347" spans="1:38">
      <c r="A347" s="1">
        <v>346</v>
      </c>
      <c r="B347" s="3" t="s">
        <v>27</v>
      </c>
      <c r="C347" s="7" t="s">
        <v>233</v>
      </c>
      <c r="D347" s="7" t="s">
        <v>234</v>
      </c>
      <c r="E347" s="8">
        <v>56.923544444444445</v>
      </c>
      <c r="F347" s="8">
        <v>-133.81111111111113</v>
      </c>
      <c r="G347" s="9" t="s">
        <v>30</v>
      </c>
      <c r="H347" s="3" t="s">
        <v>31</v>
      </c>
      <c r="I347" s="3" t="s">
        <v>31</v>
      </c>
      <c r="J347" s="3" t="s">
        <v>31</v>
      </c>
      <c r="K347" s="7" t="s">
        <v>68</v>
      </c>
      <c r="L347" s="9">
        <v>8</v>
      </c>
      <c r="M347" s="9">
        <v>15</v>
      </c>
      <c r="N347" s="9">
        <f t="shared" si="29"/>
        <v>7</v>
      </c>
      <c r="O347" s="9"/>
      <c r="P347" s="9"/>
      <c r="Q347" s="25"/>
      <c r="R347" s="11">
        <v>0</v>
      </c>
      <c r="S347" s="1">
        <v>0.86</v>
      </c>
      <c r="T347" s="1">
        <f t="shared" si="30"/>
        <v>0.86</v>
      </c>
      <c r="U347" s="12">
        <v>0</v>
      </c>
      <c r="V347" s="13">
        <v>11.557035000000001</v>
      </c>
      <c r="W347" s="14">
        <f t="shared" si="31"/>
        <v>6957.335070000001</v>
      </c>
      <c r="X347" s="25"/>
      <c r="Y347" s="14">
        <f t="shared" si="33"/>
        <v>6957.335070000001</v>
      </c>
      <c r="Z347" s="3"/>
      <c r="AA347" s="3"/>
      <c r="AB347" s="5"/>
      <c r="AC347" s="1"/>
      <c r="AD347" s="28"/>
      <c r="AE347" s="28"/>
      <c r="AF347" s="3"/>
      <c r="AG347" s="7"/>
      <c r="AH347" s="7"/>
      <c r="AI347" s="3" t="s">
        <v>59</v>
      </c>
      <c r="AJ347" s="7" t="s">
        <v>68</v>
      </c>
      <c r="AK347" s="3"/>
      <c r="AL347" cm="1">
        <f t="array" ref="AL347">IF(getColor(V347) = 16777215, 0, 1)</f>
        <v>0</v>
      </c>
    </row>
    <row r="348" spans="1:38">
      <c r="A348" s="1">
        <v>347</v>
      </c>
      <c r="B348" s="3" t="s">
        <v>27</v>
      </c>
      <c r="C348" s="7" t="s">
        <v>233</v>
      </c>
      <c r="D348" s="7" t="s">
        <v>234</v>
      </c>
      <c r="E348" s="8">
        <v>56.923544444444445</v>
      </c>
      <c r="F348" s="8">
        <v>-133.81111111111113</v>
      </c>
      <c r="G348" s="9" t="s">
        <v>30</v>
      </c>
      <c r="H348" s="3" t="s">
        <v>31</v>
      </c>
      <c r="I348" s="3" t="s">
        <v>31</v>
      </c>
      <c r="J348" s="3" t="s">
        <v>31</v>
      </c>
      <c r="K348" s="7" t="s">
        <v>77</v>
      </c>
      <c r="L348" s="9">
        <v>15</v>
      </c>
      <c r="M348" s="9">
        <v>28</v>
      </c>
      <c r="N348" s="9">
        <f t="shared" si="29"/>
        <v>13</v>
      </c>
      <c r="O348" s="9"/>
      <c r="P348" s="9"/>
      <c r="Q348" s="25"/>
      <c r="R348" s="11">
        <v>0</v>
      </c>
      <c r="S348" s="1">
        <v>0.86</v>
      </c>
      <c r="T348" s="1">
        <f t="shared" si="30"/>
        <v>0.86</v>
      </c>
      <c r="U348" s="12">
        <v>0</v>
      </c>
      <c r="V348" s="13">
        <v>8.0039949999999997</v>
      </c>
      <c r="W348" s="14">
        <f t="shared" si="31"/>
        <v>8948.4664100000009</v>
      </c>
      <c r="X348" s="25"/>
      <c r="Y348" s="14">
        <f t="shared" si="33"/>
        <v>8948.4664100000009</v>
      </c>
      <c r="Z348" s="3"/>
      <c r="AA348" s="3"/>
      <c r="AB348" s="5"/>
      <c r="AC348" s="1"/>
      <c r="AD348" s="28"/>
      <c r="AE348" s="28"/>
      <c r="AF348" s="3"/>
      <c r="AG348" s="7"/>
      <c r="AH348" s="7"/>
      <c r="AI348" s="3" t="s">
        <v>59</v>
      </c>
      <c r="AJ348" s="7" t="s">
        <v>78</v>
      </c>
      <c r="AK348" s="3"/>
      <c r="AL348" cm="1">
        <f t="array" ref="AL348">IF(getColor(V348) = 16777215, 0, 1)</f>
        <v>0</v>
      </c>
    </row>
    <row r="349" spans="1:38">
      <c r="A349" s="1">
        <v>348</v>
      </c>
      <c r="B349" s="3" t="s">
        <v>27</v>
      </c>
      <c r="C349" s="7" t="s">
        <v>233</v>
      </c>
      <c r="D349" s="7" t="s">
        <v>234</v>
      </c>
      <c r="E349" s="8">
        <v>56.923544444444445</v>
      </c>
      <c r="F349" s="8">
        <v>-133.81111111111113</v>
      </c>
      <c r="G349" s="9" t="s">
        <v>30</v>
      </c>
      <c r="H349" s="3" t="s">
        <v>31</v>
      </c>
      <c r="I349" s="3" t="s">
        <v>31</v>
      </c>
      <c r="J349" s="3" t="s">
        <v>31</v>
      </c>
      <c r="K349" s="7" t="s">
        <v>41</v>
      </c>
      <c r="L349" s="9">
        <v>28</v>
      </c>
      <c r="M349" s="9">
        <v>41</v>
      </c>
      <c r="N349" s="9">
        <f t="shared" si="29"/>
        <v>13</v>
      </c>
      <c r="O349" s="9"/>
      <c r="P349" s="9"/>
      <c r="Q349" s="25"/>
      <c r="R349" s="11">
        <v>0</v>
      </c>
      <c r="S349" s="1">
        <v>1.17</v>
      </c>
      <c r="T349" s="1">
        <f t="shared" si="30"/>
        <v>1.17</v>
      </c>
      <c r="U349" s="12">
        <v>0</v>
      </c>
      <c r="V349" s="13">
        <v>2.7323650000000002</v>
      </c>
      <c r="W349" s="14">
        <f t="shared" si="31"/>
        <v>4155.9271650000001</v>
      </c>
      <c r="X349" s="25"/>
      <c r="Y349" s="14">
        <f t="shared" si="33"/>
        <v>4155.9271650000001</v>
      </c>
      <c r="Z349" s="3"/>
      <c r="AA349" s="3"/>
      <c r="AB349" s="5"/>
      <c r="AC349" s="1"/>
      <c r="AD349" s="28"/>
      <c r="AE349" s="28"/>
      <c r="AF349" s="3"/>
      <c r="AG349" s="7"/>
      <c r="AH349" s="7"/>
      <c r="AI349" s="3" t="s">
        <v>59</v>
      </c>
      <c r="AJ349" s="7" t="s">
        <v>61</v>
      </c>
      <c r="AK349" s="3"/>
      <c r="AL349" cm="1">
        <f t="array" ref="AL349">IF(getColor(V349) = 16777215, 0, 1)</f>
        <v>0</v>
      </c>
    </row>
    <row r="350" spans="1:38">
      <c r="A350" s="1">
        <v>349</v>
      </c>
      <c r="B350" s="3" t="s">
        <v>27</v>
      </c>
      <c r="C350" s="7" t="s">
        <v>233</v>
      </c>
      <c r="D350" s="7" t="s">
        <v>234</v>
      </c>
      <c r="E350" s="8">
        <v>56.923544444444445</v>
      </c>
      <c r="F350" s="8">
        <v>-133.81111111111113</v>
      </c>
      <c r="G350" s="9" t="s">
        <v>30</v>
      </c>
      <c r="H350" s="3" t="s">
        <v>31</v>
      </c>
      <c r="I350" s="3" t="s">
        <v>31</v>
      </c>
      <c r="J350" s="3" t="s">
        <v>31</v>
      </c>
      <c r="K350" s="7" t="s">
        <v>79</v>
      </c>
      <c r="L350" s="9">
        <v>41</v>
      </c>
      <c r="M350" s="9">
        <v>69</v>
      </c>
      <c r="N350" s="9">
        <f t="shared" si="29"/>
        <v>28</v>
      </c>
      <c r="O350" s="9"/>
      <c r="P350" s="9"/>
      <c r="Q350" s="25"/>
      <c r="R350" s="11">
        <v>0</v>
      </c>
      <c r="S350" s="1">
        <v>1.71</v>
      </c>
      <c r="T350" s="1">
        <f t="shared" si="30"/>
        <v>1.71</v>
      </c>
      <c r="U350" s="12">
        <v>0</v>
      </c>
      <c r="V350" s="13">
        <v>0.31861500000000004</v>
      </c>
      <c r="W350" s="14">
        <f t="shared" si="31"/>
        <v>1525.5286199999998</v>
      </c>
      <c r="X350" s="25"/>
      <c r="Y350" s="14">
        <f t="shared" si="33"/>
        <v>1525.5286199999998</v>
      </c>
      <c r="Z350" s="3"/>
      <c r="AA350" s="3"/>
      <c r="AB350" s="5"/>
      <c r="AC350" s="1"/>
      <c r="AD350" s="28"/>
      <c r="AE350" s="28"/>
      <c r="AF350" s="3"/>
      <c r="AG350" s="7"/>
      <c r="AH350" s="7"/>
      <c r="AI350" s="3" t="s">
        <v>59</v>
      </c>
      <c r="AJ350" s="7" t="s">
        <v>79</v>
      </c>
      <c r="AK350" s="3"/>
      <c r="AL350" cm="1">
        <f t="array" ref="AL350">IF(getColor(V350) = 16777215, 0, 1)</f>
        <v>0</v>
      </c>
    </row>
    <row r="351" spans="1:38">
      <c r="A351" s="1">
        <v>350</v>
      </c>
      <c r="B351" s="3" t="s">
        <v>27</v>
      </c>
      <c r="C351" s="7" t="s">
        <v>233</v>
      </c>
      <c r="D351" s="7" t="s">
        <v>234</v>
      </c>
      <c r="E351" s="8">
        <v>56.923544444444445</v>
      </c>
      <c r="F351" s="8">
        <v>-133.81111111111113</v>
      </c>
      <c r="G351" s="9" t="s">
        <v>30</v>
      </c>
      <c r="H351" s="3" t="s">
        <v>31</v>
      </c>
      <c r="I351" s="3" t="s">
        <v>31</v>
      </c>
      <c r="J351" s="3" t="s">
        <v>31</v>
      </c>
      <c r="K351" s="7" t="s">
        <v>44</v>
      </c>
      <c r="L351" s="9">
        <v>69</v>
      </c>
      <c r="M351" s="9">
        <v>152</v>
      </c>
      <c r="N351" s="9">
        <f t="shared" si="29"/>
        <v>83</v>
      </c>
      <c r="O351" s="9"/>
      <c r="P351" s="9"/>
      <c r="Q351" s="25"/>
      <c r="R351" s="11">
        <v>0</v>
      </c>
      <c r="S351" s="1">
        <v>1.74</v>
      </c>
      <c r="T351" s="1">
        <f t="shared" si="30"/>
        <v>1.74</v>
      </c>
      <c r="U351" s="12">
        <v>0</v>
      </c>
      <c r="V351" s="13">
        <v>0.25103000000000003</v>
      </c>
      <c r="W351" s="14">
        <f t="shared" si="31"/>
        <v>3625.3752600000007</v>
      </c>
      <c r="X351" s="25"/>
      <c r="Y351" s="14">
        <f>IF(L351&gt;-100,W351-W351*(ABS(M351)-100)/(ABS(M351)-ABS(L351)),0)</f>
        <v>1354.05582</v>
      </c>
      <c r="Z351" s="3"/>
      <c r="AA351" s="3"/>
      <c r="AB351" s="5"/>
      <c r="AC351" s="1"/>
      <c r="AD351" s="28"/>
      <c r="AE351" s="28"/>
      <c r="AF351" s="3"/>
      <c r="AG351" s="7"/>
      <c r="AH351" s="7"/>
      <c r="AI351" s="3" t="s">
        <v>59</v>
      </c>
      <c r="AJ351" s="7" t="s">
        <v>44</v>
      </c>
      <c r="AK351" s="3"/>
      <c r="AL351" cm="1">
        <f t="array" ref="AL351">IF(getColor(V351) = 16777215, 0, 1)</f>
        <v>0</v>
      </c>
    </row>
    <row r="352" spans="1:38">
      <c r="A352" s="1">
        <v>351</v>
      </c>
      <c r="B352" s="3" t="s">
        <v>27</v>
      </c>
      <c r="C352" s="7" t="s">
        <v>235</v>
      </c>
      <c r="D352" s="7" t="s">
        <v>236</v>
      </c>
      <c r="E352" s="8">
        <v>56.919377777777783</v>
      </c>
      <c r="F352" s="8">
        <v>-133.80972222222223</v>
      </c>
      <c r="G352" s="9" t="s">
        <v>30</v>
      </c>
      <c r="H352" s="3" t="s">
        <v>31</v>
      </c>
      <c r="I352" s="3" t="s">
        <v>31</v>
      </c>
      <c r="J352" s="3" t="s">
        <v>31</v>
      </c>
      <c r="K352" s="7" t="s">
        <v>52</v>
      </c>
      <c r="L352" s="9">
        <v>15</v>
      </c>
      <c r="M352" s="9">
        <v>0</v>
      </c>
      <c r="N352" s="9">
        <f t="shared" si="29"/>
        <v>15</v>
      </c>
      <c r="O352" s="29">
        <f>M359</f>
        <v>152</v>
      </c>
      <c r="P352" s="29">
        <f>L352</f>
        <v>15</v>
      </c>
      <c r="Q352" s="29">
        <f>P352+O352</f>
        <v>167</v>
      </c>
      <c r="R352" s="11">
        <v>0</v>
      </c>
      <c r="S352" s="1">
        <v>0.15</v>
      </c>
      <c r="T352" s="1">
        <f t="shared" si="30"/>
        <v>0.15</v>
      </c>
      <c r="U352" s="12">
        <v>0</v>
      </c>
      <c r="V352" s="13">
        <v>51.490115000000003</v>
      </c>
      <c r="W352" s="14">
        <f t="shared" si="31"/>
        <v>11585.275875000001</v>
      </c>
      <c r="X352" s="14">
        <f>SUM(W352:W359)</f>
        <v>39600.874622000003</v>
      </c>
      <c r="Y352" s="14">
        <f t="shared" ref="Y352:Y358" si="34">T352*V352/100*N352*100*100*((100-U352)/100)</f>
        <v>11585.275875000001</v>
      </c>
      <c r="Z352" s="15">
        <f>SUM(Y352:Y359)/10^6*10^4</f>
        <v>368.05404542000008</v>
      </c>
      <c r="AA352" s="16">
        <v>67.929696581700668</v>
      </c>
      <c r="AB352" s="5"/>
      <c r="AC352" s="1"/>
      <c r="AD352" s="28"/>
      <c r="AE352" s="28"/>
      <c r="AF352" s="3"/>
      <c r="AG352" s="7"/>
      <c r="AH352" s="7"/>
      <c r="AI352" s="3" t="s">
        <v>107</v>
      </c>
      <c r="AJ352" s="7" t="s">
        <v>76</v>
      </c>
      <c r="AK352" s="3"/>
      <c r="AL352" cm="1">
        <f t="array" ref="AL352">IF(getColor(V352) = 16777215, 0, 1)</f>
        <v>0</v>
      </c>
    </row>
    <row r="353" spans="1:38">
      <c r="A353" s="1">
        <v>352</v>
      </c>
      <c r="B353" s="3" t="s">
        <v>27</v>
      </c>
      <c r="C353" s="7" t="s">
        <v>235</v>
      </c>
      <c r="D353" s="7" t="s">
        <v>236</v>
      </c>
      <c r="E353" s="8">
        <v>56.919377777777783</v>
      </c>
      <c r="F353" s="8">
        <v>-133.80972222222223</v>
      </c>
      <c r="G353" s="9" t="s">
        <v>30</v>
      </c>
      <c r="H353" s="3" t="s">
        <v>31</v>
      </c>
      <c r="I353" s="3" t="s">
        <v>31</v>
      </c>
      <c r="J353" s="3" t="s">
        <v>31</v>
      </c>
      <c r="K353" s="7" t="s">
        <v>47</v>
      </c>
      <c r="L353" s="9">
        <v>0</v>
      </c>
      <c r="M353" s="9">
        <v>3</v>
      </c>
      <c r="N353" s="9">
        <f t="shared" si="29"/>
        <v>3</v>
      </c>
      <c r="O353" s="9"/>
      <c r="P353" s="9"/>
      <c r="Q353" s="25"/>
      <c r="R353" s="11">
        <v>0</v>
      </c>
      <c r="S353" s="1">
        <v>0.93</v>
      </c>
      <c r="T353" s="1">
        <f t="shared" si="30"/>
        <v>0.93</v>
      </c>
      <c r="U353" s="12">
        <v>0</v>
      </c>
      <c r="V353" s="13">
        <v>8.0136500000000002</v>
      </c>
      <c r="W353" s="14">
        <f t="shared" si="31"/>
        <v>2235.8083500000002</v>
      </c>
      <c r="X353" s="25"/>
      <c r="Y353" s="14">
        <f t="shared" si="34"/>
        <v>2235.8083500000002</v>
      </c>
      <c r="Z353" s="3"/>
      <c r="AA353" s="3"/>
      <c r="AB353" s="5"/>
      <c r="AC353" s="5"/>
      <c r="AD353" s="28"/>
      <c r="AE353" s="28"/>
      <c r="AF353" s="3"/>
      <c r="AG353" s="7"/>
      <c r="AH353" s="7"/>
      <c r="AI353" s="3" t="s">
        <v>107</v>
      </c>
      <c r="AJ353" s="7" t="s">
        <v>47</v>
      </c>
      <c r="AK353" s="3"/>
      <c r="AL353" cm="1">
        <f t="array" ref="AL353">IF(getColor(V353) = 16777215, 0, 1)</f>
        <v>0</v>
      </c>
    </row>
    <row r="354" spans="1:38">
      <c r="A354" s="1">
        <v>353</v>
      </c>
      <c r="B354" s="3" t="s">
        <v>27</v>
      </c>
      <c r="C354" s="7" t="s">
        <v>235</v>
      </c>
      <c r="D354" s="7" t="s">
        <v>236</v>
      </c>
      <c r="E354" s="8">
        <v>56.919377777777783</v>
      </c>
      <c r="F354" s="8">
        <v>-133.80972222222223</v>
      </c>
      <c r="G354" s="9" t="s">
        <v>30</v>
      </c>
      <c r="H354" s="3" t="s">
        <v>31</v>
      </c>
      <c r="I354" s="3" t="s">
        <v>31</v>
      </c>
      <c r="J354" s="3" t="s">
        <v>31</v>
      </c>
      <c r="K354" s="7" t="s">
        <v>68</v>
      </c>
      <c r="L354" s="9">
        <v>3</v>
      </c>
      <c r="M354" s="9">
        <v>8</v>
      </c>
      <c r="N354" s="9">
        <f t="shared" si="29"/>
        <v>5</v>
      </c>
      <c r="O354" s="9"/>
      <c r="P354" s="9"/>
      <c r="Q354" s="25"/>
      <c r="R354" s="11">
        <v>0</v>
      </c>
      <c r="S354" s="1">
        <v>0.86</v>
      </c>
      <c r="T354" s="1">
        <f t="shared" si="30"/>
        <v>0.86</v>
      </c>
      <c r="U354" s="12">
        <v>0</v>
      </c>
      <c r="V354" s="13">
        <v>13.082525</v>
      </c>
      <c r="W354" s="14">
        <f t="shared" si="31"/>
        <v>5625.4857500000016</v>
      </c>
      <c r="X354" s="25"/>
      <c r="Y354" s="14">
        <f t="shared" si="34"/>
        <v>5625.4857500000016</v>
      </c>
      <c r="Z354" s="3"/>
      <c r="AA354" s="3"/>
      <c r="AB354" s="5"/>
      <c r="AC354" s="1"/>
      <c r="AD354" s="28"/>
      <c r="AE354" s="28"/>
      <c r="AF354" s="3"/>
      <c r="AG354" s="7"/>
      <c r="AH354" s="7"/>
      <c r="AI354" s="3" t="s">
        <v>107</v>
      </c>
      <c r="AJ354" s="7" t="s">
        <v>68</v>
      </c>
      <c r="AK354" s="3"/>
      <c r="AL354" cm="1">
        <f t="array" ref="AL354">IF(getColor(V354) = 16777215, 0, 1)</f>
        <v>0</v>
      </c>
    </row>
    <row r="355" spans="1:38">
      <c r="A355" s="1">
        <v>354</v>
      </c>
      <c r="B355" s="3" t="s">
        <v>27</v>
      </c>
      <c r="C355" s="7" t="s">
        <v>235</v>
      </c>
      <c r="D355" s="7" t="s">
        <v>236</v>
      </c>
      <c r="E355" s="8">
        <v>56.919377777777783</v>
      </c>
      <c r="F355" s="8">
        <v>-133.80972222222223</v>
      </c>
      <c r="G355" s="9" t="s">
        <v>30</v>
      </c>
      <c r="H355" s="3" t="s">
        <v>31</v>
      </c>
      <c r="I355" s="3" t="s">
        <v>31</v>
      </c>
      <c r="J355" s="3" t="s">
        <v>31</v>
      </c>
      <c r="K355" s="7" t="s">
        <v>77</v>
      </c>
      <c r="L355" s="9">
        <v>8</v>
      </c>
      <c r="M355" s="9">
        <v>13</v>
      </c>
      <c r="N355" s="9">
        <f t="shared" si="29"/>
        <v>5</v>
      </c>
      <c r="O355" s="9"/>
      <c r="P355" s="9"/>
      <c r="Q355" s="25"/>
      <c r="R355" s="11">
        <v>0</v>
      </c>
      <c r="S355" s="1">
        <v>0.86</v>
      </c>
      <c r="T355" s="1">
        <f t="shared" si="30"/>
        <v>0.86</v>
      </c>
      <c r="U355" s="12">
        <v>1</v>
      </c>
      <c r="V355" s="13">
        <v>8.7667400000000004</v>
      </c>
      <c r="W355" s="14">
        <f t="shared" si="31"/>
        <v>3732.0012179999999</v>
      </c>
      <c r="X355" s="25"/>
      <c r="Y355" s="14">
        <f t="shared" si="34"/>
        <v>3732.0012179999999</v>
      </c>
      <c r="Z355" s="3"/>
      <c r="AA355" s="3"/>
      <c r="AB355" s="5"/>
      <c r="AC355" s="1"/>
      <c r="AD355" s="28"/>
      <c r="AE355" s="28"/>
      <c r="AF355" s="3"/>
      <c r="AG355" s="7"/>
      <c r="AH355" s="7"/>
      <c r="AI355" s="3" t="s">
        <v>107</v>
      </c>
      <c r="AJ355" s="7" t="s">
        <v>78</v>
      </c>
      <c r="AK355" s="3"/>
      <c r="AL355" cm="1">
        <f t="array" ref="AL355">IF(getColor(V355) = 16777215, 0, 1)</f>
        <v>0</v>
      </c>
    </row>
    <row r="356" spans="1:38">
      <c r="A356" s="1">
        <v>355</v>
      </c>
      <c r="B356" s="3" t="s">
        <v>27</v>
      </c>
      <c r="C356" s="7" t="s">
        <v>235</v>
      </c>
      <c r="D356" s="7" t="s">
        <v>236</v>
      </c>
      <c r="E356" s="8">
        <v>56.919377777777783</v>
      </c>
      <c r="F356" s="8">
        <v>-133.80972222222223</v>
      </c>
      <c r="G356" s="9" t="s">
        <v>30</v>
      </c>
      <c r="H356" s="3" t="s">
        <v>31</v>
      </c>
      <c r="I356" s="3" t="s">
        <v>31</v>
      </c>
      <c r="J356" s="3" t="s">
        <v>31</v>
      </c>
      <c r="K356" s="7" t="s">
        <v>41</v>
      </c>
      <c r="L356" s="9">
        <v>13</v>
      </c>
      <c r="M356" s="9">
        <v>23</v>
      </c>
      <c r="N356" s="9">
        <f t="shared" si="29"/>
        <v>10</v>
      </c>
      <c r="O356" s="9"/>
      <c r="P356" s="9"/>
      <c r="Q356" s="25"/>
      <c r="R356" s="11">
        <v>0</v>
      </c>
      <c r="S356" s="1">
        <v>1.17</v>
      </c>
      <c r="T356" s="1">
        <f t="shared" si="30"/>
        <v>1.17</v>
      </c>
      <c r="U356" s="12">
        <v>0</v>
      </c>
      <c r="V356" s="13">
        <v>6.7005700000000008</v>
      </c>
      <c r="W356" s="14">
        <f t="shared" si="31"/>
        <v>7839.6669000000002</v>
      </c>
      <c r="X356" s="25"/>
      <c r="Y356" s="14">
        <f t="shared" si="34"/>
        <v>7839.6669000000002</v>
      </c>
      <c r="Z356" s="3"/>
      <c r="AA356" s="3"/>
      <c r="AB356" s="5"/>
      <c r="AC356" s="1"/>
      <c r="AD356" s="28"/>
      <c r="AE356" s="28"/>
      <c r="AF356" s="3"/>
      <c r="AG356" s="7"/>
      <c r="AH356" s="7"/>
      <c r="AI356" s="3" t="s">
        <v>107</v>
      </c>
      <c r="AJ356" s="7" t="s">
        <v>61</v>
      </c>
      <c r="AK356" s="3"/>
      <c r="AL356" cm="1">
        <f t="array" ref="AL356">IF(getColor(V356) = 16777215, 0, 1)</f>
        <v>0</v>
      </c>
    </row>
    <row r="357" spans="1:38">
      <c r="A357" s="1">
        <v>356</v>
      </c>
      <c r="B357" s="3" t="s">
        <v>27</v>
      </c>
      <c r="C357" s="7" t="s">
        <v>235</v>
      </c>
      <c r="D357" s="7" t="s">
        <v>236</v>
      </c>
      <c r="E357" s="8">
        <v>56.919377777777783</v>
      </c>
      <c r="F357" s="8">
        <v>-133.80972222222223</v>
      </c>
      <c r="G357" s="9" t="s">
        <v>30</v>
      </c>
      <c r="H357" s="3" t="s">
        <v>31</v>
      </c>
      <c r="I357" s="3" t="s">
        <v>31</v>
      </c>
      <c r="J357" s="3" t="s">
        <v>31</v>
      </c>
      <c r="K357" s="7" t="s">
        <v>62</v>
      </c>
      <c r="L357" s="9">
        <v>23</v>
      </c>
      <c r="M357" s="9">
        <v>43</v>
      </c>
      <c r="N357" s="9">
        <f t="shared" si="29"/>
        <v>20</v>
      </c>
      <c r="O357" s="9"/>
      <c r="P357" s="9"/>
      <c r="Q357" s="25"/>
      <c r="R357" s="11">
        <v>0</v>
      </c>
      <c r="S357" s="1">
        <v>0.86</v>
      </c>
      <c r="T357" s="1">
        <f t="shared" si="30"/>
        <v>0.86</v>
      </c>
      <c r="U357" s="12">
        <v>1</v>
      </c>
      <c r="V357" s="13">
        <v>0.83033000000000001</v>
      </c>
      <c r="W357" s="14">
        <f t="shared" si="31"/>
        <v>1413.8859239999999</v>
      </c>
      <c r="X357" s="25"/>
      <c r="Y357" s="14">
        <f t="shared" si="34"/>
        <v>1413.8859239999999</v>
      </c>
      <c r="Z357" s="3"/>
      <c r="AA357" s="3"/>
      <c r="AB357" s="5"/>
      <c r="AC357" s="1"/>
      <c r="AD357" s="28"/>
      <c r="AE357" s="28"/>
      <c r="AF357" s="3"/>
      <c r="AG357" s="7"/>
      <c r="AH357" s="7"/>
      <c r="AI357" s="3" t="s">
        <v>107</v>
      </c>
      <c r="AJ357" s="7" t="s">
        <v>62</v>
      </c>
      <c r="AK357" s="3"/>
      <c r="AL357" cm="1">
        <f t="array" ref="AL357">IF(getColor(V357) = 16777215, 0, 1)</f>
        <v>0</v>
      </c>
    </row>
    <row r="358" spans="1:38">
      <c r="A358" s="1">
        <v>357</v>
      </c>
      <c r="B358" s="3" t="s">
        <v>27</v>
      </c>
      <c r="C358" s="7" t="s">
        <v>235</v>
      </c>
      <c r="D358" s="7" t="s">
        <v>236</v>
      </c>
      <c r="E358" s="8">
        <v>56.919377777777783</v>
      </c>
      <c r="F358" s="8">
        <v>-133.80972222222223</v>
      </c>
      <c r="G358" s="9" t="s">
        <v>30</v>
      </c>
      <c r="H358" s="3" t="s">
        <v>31</v>
      </c>
      <c r="I358" s="3" t="s">
        <v>31</v>
      </c>
      <c r="J358" s="3" t="s">
        <v>31</v>
      </c>
      <c r="K358" s="7" t="s">
        <v>79</v>
      </c>
      <c r="L358" s="9">
        <v>43</v>
      </c>
      <c r="M358" s="9">
        <v>86</v>
      </c>
      <c r="N358" s="9">
        <f t="shared" si="29"/>
        <v>43</v>
      </c>
      <c r="O358" s="9"/>
      <c r="P358" s="9"/>
      <c r="Q358" s="25"/>
      <c r="R358" s="11">
        <v>0</v>
      </c>
      <c r="S358" s="1">
        <v>1.71</v>
      </c>
      <c r="T358" s="1">
        <f t="shared" si="30"/>
        <v>1.71</v>
      </c>
      <c r="U358" s="12">
        <v>0</v>
      </c>
      <c r="V358" s="13">
        <v>0.49240500000000004</v>
      </c>
      <c r="W358" s="14">
        <f t="shared" si="31"/>
        <v>3620.6539650000004</v>
      </c>
      <c r="X358" s="25"/>
      <c r="Y358" s="14">
        <f t="shared" si="34"/>
        <v>3620.6539650000004</v>
      </c>
      <c r="Z358" s="3"/>
      <c r="AA358" s="3"/>
      <c r="AB358" s="5"/>
      <c r="AC358" s="1"/>
      <c r="AD358" s="28"/>
      <c r="AE358" s="28"/>
      <c r="AF358" s="3"/>
      <c r="AG358" s="7"/>
      <c r="AH358" s="7"/>
      <c r="AI358" s="3" t="s">
        <v>107</v>
      </c>
      <c r="AJ358" s="7" t="s">
        <v>79</v>
      </c>
      <c r="AK358" s="3"/>
      <c r="AL358" cm="1">
        <f t="array" ref="AL358">IF(getColor(V358) = 16777215, 0, 1)</f>
        <v>0</v>
      </c>
    </row>
    <row r="359" spans="1:38">
      <c r="A359" s="1">
        <v>358</v>
      </c>
      <c r="B359" s="3" t="s">
        <v>27</v>
      </c>
      <c r="C359" s="7" t="s">
        <v>235</v>
      </c>
      <c r="D359" s="7" t="s">
        <v>236</v>
      </c>
      <c r="E359" s="8">
        <v>56.919377777777783</v>
      </c>
      <c r="F359" s="8">
        <v>-133.80972222222223</v>
      </c>
      <c r="G359" s="9" t="s">
        <v>30</v>
      </c>
      <c r="H359" s="3" t="s">
        <v>31</v>
      </c>
      <c r="I359" s="3" t="s">
        <v>31</v>
      </c>
      <c r="J359" s="3" t="s">
        <v>31</v>
      </c>
      <c r="K359" s="7" t="s">
        <v>44</v>
      </c>
      <c r="L359" s="9">
        <v>86</v>
      </c>
      <c r="M359" s="9">
        <v>152</v>
      </c>
      <c r="N359" s="9">
        <f t="shared" si="29"/>
        <v>66</v>
      </c>
      <c r="O359" s="9"/>
      <c r="P359" s="9"/>
      <c r="Q359" s="25"/>
      <c r="R359" s="11">
        <v>0</v>
      </c>
      <c r="S359" s="1">
        <v>1.74</v>
      </c>
      <c r="T359" s="1">
        <f t="shared" si="30"/>
        <v>1.74</v>
      </c>
      <c r="U359" s="12">
        <v>0</v>
      </c>
      <c r="V359" s="13">
        <v>0.30896000000000001</v>
      </c>
      <c r="W359" s="14">
        <f t="shared" si="31"/>
        <v>3548.0966399999998</v>
      </c>
      <c r="X359" s="25"/>
      <c r="Y359" s="14">
        <f>IF(L359&gt;-100,W359-W359*(ABS(M359)-100)/(ABS(M359)-ABS(L359)),0)</f>
        <v>752.6265599999997</v>
      </c>
      <c r="Z359" s="3"/>
      <c r="AA359" s="3"/>
      <c r="AB359" s="5"/>
      <c r="AC359" s="1"/>
      <c r="AD359" s="28"/>
      <c r="AE359" s="28"/>
      <c r="AF359" s="3"/>
      <c r="AG359" s="7"/>
      <c r="AH359" s="7"/>
      <c r="AI359" s="3" t="s">
        <v>107</v>
      </c>
      <c r="AJ359" s="7" t="s">
        <v>44</v>
      </c>
      <c r="AK359" s="3"/>
      <c r="AL359" cm="1">
        <f t="array" ref="AL359">IF(getColor(V359) = 16777215, 0, 1)</f>
        <v>0</v>
      </c>
    </row>
    <row r="360" spans="1:38">
      <c r="A360" s="1">
        <v>359</v>
      </c>
      <c r="B360" s="3" t="s">
        <v>27</v>
      </c>
      <c r="C360" s="7" t="s">
        <v>237</v>
      </c>
      <c r="D360" s="7" t="s">
        <v>166</v>
      </c>
      <c r="E360" s="8">
        <v>55.00277777777778</v>
      </c>
      <c r="F360" s="8">
        <v>-133.16</v>
      </c>
      <c r="G360" s="9" t="s">
        <v>30</v>
      </c>
      <c r="H360" s="3" t="s">
        <v>31</v>
      </c>
      <c r="I360" s="3" t="s">
        <v>31</v>
      </c>
      <c r="J360" s="3" t="s">
        <v>31</v>
      </c>
      <c r="K360" s="7" t="s">
        <v>53</v>
      </c>
      <c r="L360" s="9">
        <v>20</v>
      </c>
      <c r="M360" s="9">
        <v>10</v>
      </c>
      <c r="N360" s="9">
        <f t="shared" si="29"/>
        <v>10</v>
      </c>
      <c r="O360" s="29">
        <f>M365</f>
        <v>42</v>
      </c>
      <c r="P360" s="29">
        <f>L360</f>
        <v>20</v>
      </c>
      <c r="Q360" s="29">
        <f>P360+O360</f>
        <v>62</v>
      </c>
      <c r="R360" s="11">
        <v>0</v>
      </c>
      <c r="S360" s="1">
        <v>0.14000000000000001</v>
      </c>
      <c r="T360" s="1">
        <f t="shared" si="30"/>
        <v>0.14000000000000001</v>
      </c>
      <c r="U360" s="12">
        <v>0</v>
      </c>
      <c r="V360" s="13">
        <v>42.783237</v>
      </c>
      <c r="W360" s="14">
        <f t="shared" si="31"/>
        <v>5989.6531800000002</v>
      </c>
      <c r="X360" s="14">
        <f>SUM(W360:W365)</f>
        <v>21694.6412064</v>
      </c>
      <c r="Y360" s="14">
        <f t="shared" ref="Y360:Y369" si="35">T360*V360/100*N360*100*100*((100-U360)/100)</f>
        <v>5989.6531800000002</v>
      </c>
      <c r="Z360" s="15">
        <f>SUM(Y360:Y365)/10^6*10^4</f>
        <v>216.94641206399999</v>
      </c>
      <c r="AA360" s="16">
        <v>42.433766698713434</v>
      </c>
      <c r="AB360" s="5"/>
      <c r="AC360" s="1"/>
      <c r="AD360" s="28"/>
      <c r="AE360" s="28"/>
      <c r="AF360" s="3"/>
      <c r="AG360" s="7"/>
      <c r="AH360" s="7"/>
      <c r="AI360" s="3" t="s">
        <v>75</v>
      </c>
      <c r="AJ360" s="7" t="s">
        <v>53</v>
      </c>
      <c r="AK360" s="3"/>
      <c r="AL360" cm="1">
        <f t="array" ref="AL360">IF(getColor(V360) = 16777215, 0, 1)</f>
        <v>0</v>
      </c>
    </row>
    <row r="361" spans="1:38">
      <c r="A361" s="1">
        <v>360</v>
      </c>
      <c r="B361" s="3" t="s">
        <v>27</v>
      </c>
      <c r="C361" s="7" t="s">
        <v>237</v>
      </c>
      <c r="D361" s="7" t="s">
        <v>166</v>
      </c>
      <c r="E361" s="8">
        <v>55.00277777777778</v>
      </c>
      <c r="F361" s="8">
        <v>-133.16</v>
      </c>
      <c r="G361" s="9" t="s">
        <v>30</v>
      </c>
      <c r="H361" s="3" t="s">
        <v>31</v>
      </c>
      <c r="I361" s="3" t="s">
        <v>31</v>
      </c>
      <c r="J361" s="3" t="s">
        <v>31</v>
      </c>
      <c r="K361" s="7" t="s">
        <v>52</v>
      </c>
      <c r="L361" s="9">
        <v>10</v>
      </c>
      <c r="M361" s="9">
        <v>0</v>
      </c>
      <c r="N361" s="9">
        <f t="shared" si="29"/>
        <v>10</v>
      </c>
      <c r="O361" s="9"/>
      <c r="P361" s="9"/>
      <c r="Q361" s="25"/>
      <c r="R361" s="11">
        <v>0</v>
      </c>
      <c r="S361" s="1">
        <v>0.15</v>
      </c>
      <c r="T361" s="1">
        <f t="shared" si="30"/>
        <v>0.15</v>
      </c>
      <c r="U361" s="12">
        <v>0</v>
      </c>
      <c r="V361" s="13">
        <v>38.711429999999993</v>
      </c>
      <c r="W361" s="14">
        <f t="shared" si="31"/>
        <v>5806.7145</v>
      </c>
      <c r="X361" s="25"/>
      <c r="Y361" s="14">
        <f t="shared" si="35"/>
        <v>5806.7145</v>
      </c>
      <c r="Z361" s="3"/>
      <c r="AA361" s="3"/>
      <c r="AB361" s="5"/>
      <c r="AC361" s="5"/>
      <c r="AD361" s="28"/>
      <c r="AE361" s="28"/>
      <c r="AF361" s="3"/>
      <c r="AG361" s="7"/>
      <c r="AH361" s="7"/>
      <c r="AI361" s="3" t="s">
        <v>75</v>
      </c>
      <c r="AJ361" s="7" t="s">
        <v>76</v>
      </c>
      <c r="AK361" s="3"/>
      <c r="AL361" cm="1">
        <f t="array" ref="AL361">IF(getColor(V361) = 16777215, 0, 1)</f>
        <v>0</v>
      </c>
    </row>
    <row r="362" spans="1:38">
      <c r="A362" s="1">
        <v>361</v>
      </c>
      <c r="B362" s="3" t="s">
        <v>27</v>
      </c>
      <c r="C362" s="7" t="s">
        <v>237</v>
      </c>
      <c r="D362" s="7" t="s">
        <v>166</v>
      </c>
      <c r="E362" s="8">
        <v>55.00277777777778</v>
      </c>
      <c r="F362" s="8">
        <v>-133.16</v>
      </c>
      <c r="G362" s="9" t="s">
        <v>30</v>
      </c>
      <c r="H362" s="3" t="s">
        <v>31</v>
      </c>
      <c r="I362" s="3" t="s">
        <v>31</v>
      </c>
      <c r="J362" s="3" t="s">
        <v>31</v>
      </c>
      <c r="K362" s="7" t="s">
        <v>47</v>
      </c>
      <c r="L362" s="9">
        <v>0</v>
      </c>
      <c r="M362" s="9">
        <v>3</v>
      </c>
      <c r="N362" s="9">
        <f t="shared" si="29"/>
        <v>3</v>
      </c>
      <c r="O362" s="9"/>
      <c r="P362" s="9"/>
      <c r="Q362" s="25"/>
      <c r="R362" s="11">
        <v>0</v>
      </c>
      <c r="S362" s="1">
        <v>1.31</v>
      </c>
      <c r="T362" s="1">
        <f t="shared" si="30"/>
        <v>1.31</v>
      </c>
      <c r="U362" s="12">
        <v>13</v>
      </c>
      <c r="V362" s="13">
        <v>1.8728640000000001</v>
      </c>
      <c r="W362" s="14">
        <f t="shared" si="31"/>
        <v>640.35093024000003</v>
      </c>
      <c r="X362" s="25"/>
      <c r="Y362" s="14">
        <f t="shared" si="35"/>
        <v>640.35093024000003</v>
      </c>
      <c r="Z362" s="3"/>
      <c r="AA362" s="3"/>
      <c r="AB362" s="5"/>
      <c r="AC362" s="1"/>
      <c r="AD362" s="28"/>
      <c r="AE362" s="28"/>
      <c r="AF362" s="3"/>
      <c r="AG362" s="7"/>
      <c r="AH362" s="7"/>
      <c r="AI362" s="3" t="s">
        <v>75</v>
      </c>
      <c r="AJ362" s="7" t="s">
        <v>47</v>
      </c>
      <c r="AK362" s="3"/>
      <c r="AL362" cm="1">
        <f t="array" ref="AL362">IF(getColor(V362) = 16777215, 0, 1)</f>
        <v>0</v>
      </c>
    </row>
    <row r="363" spans="1:38">
      <c r="A363" s="1">
        <v>362</v>
      </c>
      <c r="B363" s="3" t="s">
        <v>27</v>
      </c>
      <c r="C363" s="7" t="s">
        <v>237</v>
      </c>
      <c r="D363" s="7" t="s">
        <v>166</v>
      </c>
      <c r="E363" s="8">
        <v>55.00277777777778</v>
      </c>
      <c r="F363" s="8">
        <v>-133.16</v>
      </c>
      <c r="G363" s="9" t="s">
        <v>30</v>
      </c>
      <c r="H363" s="3" t="s">
        <v>31</v>
      </c>
      <c r="I363" s="3" t="s">
        <v>31</v>
      </c>
      <c r="J363" s="3" t="s">
        <v>31</v>
      </c>
      <c r="K363" s="7" t="s">
        <v>69</v>
      </c>
      <c r="L363" s="9">
        <v>3</v>
      </c>
      <c r="M363" s="9">
        <v>19</v>
      </c>
      <c r="N363" s="9">
        <f t="shared" si="29"/>
        <v>16</v>
      </c>
      <c r="O363" s="9"/>
      <c r="P363" s="9"/>
      <c r="Q363" s="25"/>
      <c r="R363" s="11">
        <v>0</v>
      </c>
      <c r="S363" s="1">
        <v>1.46</v>
      </c>
      <c r="T363" s="1">
        <f t="shared" si="30"/>
        <v>1.46</v>
      </c>
      <c r="U363" s="12">
        <v>8</v>
      </c>
      <c r="V363" s="13">
        <v>1.5802289999999999</v>
      </c>
      <c r="W363" s="14">
        <f t="shared" si="31"/>
        <v>3396.10174848</v>
      </c>
      <c r="X363" s="25"/>
      <c r="Y363" s="14">
        <f t="shared" si="35"/>
        <v>3396.10174848</v>
      </c>
      <c r="Z363" s="3"/>
      <c r="AA363" s="3"/>
      <c r="AB363" s="5"/>
      <c r="AC363" s="1"/>
      <c r="AD363" s="28"/>
      <c r="AE363" s="28"/>
      <c r="AF363" s="3"/>
      <c r="AG363" s="7"/>
      <c r="AH363" s="7"/>
      <c r="AI363" s="3" t="s">
        <v>75</v>
      </c>
      <c r="AJ363" s="7" t="s">
        <v>70</v>
      </c>
      <c r="AK363" s="3"/>
      <c r="AL363" cm="1">
        <f t="array" ref="AL363">IF(getColor(V363) = 16777215, 0, 1)</f>
        <v>0</v>
      </c>
    </row>
    <row r="364" spans="1:38">
      <c r="A364" s="1">
        <v>363</v>
      </c>
      <c r="B364" s="3" t="s">
        <v>27</v>
      </c>
      <c r="C364" s="7" t="s">
        <v>237</v>
      </c>
      <c r="D364" s="7" t="s">
        <v>166</v>
      </c>
      <c r="E364" s="8">
        <v>55.00277777777778</v>
      </c>
      <c r="F364" s="8">
        <v>-133.16</v>
      </c>
      <c r="G364" s="9" t="s">
        <v>30</v>
      </c>
      <c r="H364" s="3" t="s">
        <v>31</v>
      </c>
      <c r="I364" s="3" t="s">
        <v>31</v>
      </c>
      <c r="J364" s="3" t="s">
        <v>31</v>
      </c>
      <c r="K364" s="7" t="s">
        <v>71</v>
      </c>
      <c r="L364" s="9">
        <v>19</v>
      </c>
      <c r="M364" s="9">
        <v>36</v>
      </c>
      <c r="N364" s="9">
        <f t="shared" si="29"/>
        <v>17</v>
      </c>
      <c r="O364" s="9"/>
      <c r="P364" s="9"/>
      <c r="Q364" s="25"/>
      <c r="R364" s="11">
        <v>0</v>
      </c>
      <c r="S364" s="1">
        <v>1.46</v>
      </c>
      <c r="T364" s="1">
        <f t="shared" si="30"/>
        <v>1.46</v>
      </c>
      <c r="U364" s="12">
        <v>11</v>
      </c>
      <c r="V364" s="13">
        <v>1.7558099999999999</v>
      </c>
      <c r="W364" s="14">
        <f t="shared" si="31"/>
        <v>3878.5491738000005</v>
      </c>
      <c r="X364" s="25"/>
      <c r="Y364" s="14">
        <f t="shared" si="35"/>
        <v>3878.5491738000005</v>
      </c>
      <c r="Z364" s="3"/>
      <c r="AA364" s="3"/>
      <c r="AB364" s="5"/>
      <c r="AC364" s="1"/>
      <c r="AD364" s="28"/>
      <c r="AE364" s="28"/>
      <c r="AF364" s="3"/>
      <c r="AG364" s="7"/>
      <c r="AH364" s="7"/>
      <c r="AI364" s="3" t="s">
        <v>75</v>
      </c>
      <c r="AJ364" s="7" t="s">
        <v>72</v>
      </c>
      <c r="AK364" s="3"/>
      <c r="AL364" cm="1">
        <f t="array" ref="AL364">IF(getColor(V364) = 16777215, 0, 1)</f>
        <v>0</v>
      </c>
    </row>
    <row r="365" spans="1:38">
      <c r="A365" s="1">
        <v>364</v>
      </c>
      <c r="B365" s="3" t="s">
        <v>27</v>
      </c>
      <c r="C365" s="7" t="s">
        <v>237</v>
      </c>
      <c r="D365" s="7" t="s">
        <v>166</v>
      </c>
      <c r="E365" s="8">
        <v>55.00277777777778</v>
      </c>
      <c r="F365" s="8">
        <v>-133.16</v>
      </c>
      <c r="G365" s="9" t="s">
        <v>30</v>
      </c>
      <c r="H365" s="3" t="s">
        <v>31</v>
      </c>
      <c r="I365" s="3" t="s">
        <v>31</v>
      </c>
      <c r="J365" s="3" t="s">
        <v>31</v>
      </c>
      <c r="K365" s="7" t="s">
        <v>79</v>
      </c>
      <c r="L365" s="9">
        <v>36</v>
      </c>
      <c r="M365" s="9">
        <v>42</v>
      </c>
      <c r="N365" s="9">
        <f t="shared" si="29"/>
        <v>6</v>
      </c>
      <c r="O365" s="9"/>
      <c r="P365" s="9"/>
      <c r="Q365" s="25"/>
      <c r="R365" s="11">
        <v>0</v>
      </c>
      <c r="S365" s="1">
        <v>1.19</v>
      </c>
      <c r="T365" s="1">
        <f t="shared" si="30"/>
        <v>1.19</v>
      </c>
      <c r="U365" s="12">
        <v>2</v>
      </c>
      <c r="V365" s="13">
        <v>2.8343789999999998</v>
      </c>
      <c r="W365" s="14">
        <f t="shared" si="31"/>
        <v>1983.27167388</v>
      </c>
      <c r="X365" s="25"/>
      <c r="Y365" s="14">
        <f t="shared" si="35"/>
        <v>1983.27167388</v>
      </c>
      <c r="Z365" s="3"/>
      <c r="AA365" s="3"/>
      <c r="AB365" s="5"/>
      <c r="AC365" s="1"/>
      <c r="AD365" s="28"/>
      <c r="AE365" s="28"/>
      <c r="AF365" s="3"/>
      <c r="AG365" s="7"/>
      <c r="AH365" s="7"/>
      <c r="AI365" s="3" t="s">
        <v>75</v>
      </c>
      <c r="AJ365" s="7" t="s">
        <v>79</v>
      </c>
      <c r="AK365" s="3"/>
      <c r="AL365" cm="1">
        <f t="array" ref="AL365">IF(getColor(V365) = 16777215, 0, 1)</f>
        <v>0</v>
      </c>
    </row>
    <row r="366" spans="1:38">
      <c r="A366" s="1">
        <v>365</v>
      </c>
      <c r="B366" s="3" t="s">
        <v>27</v>
      </c>
      <c r="C366" s="7" t="s">
        <v>238</v>
      </c>
      <c r="D366" s="7" t="s">
        <v>206</v>
      </c>
      <c r="E366" s="8">
        <v>55.070766666666671</v>
      </c>
      <c r="F366" s="8">
        <v>-132.88746666666665</v>
      </c>
      <c r="G366" s="9" t="s">
        <v>30</v>
      </c>
      <c r="H366" s="3" t="s">
        <v>31</v>
      </c>
      <c r="I366" s="3" t="s">
        <v>31</v>
      </c>
      <c r="J366" s="3" t="s">
        <v>31</v>
      </c>
      <c r="K366" s="7" t="s">
        <v>53</v>
      </c>
      <c r="L366" s="9">
        <v>15</v>
      </c>
      <c r="M366" s="9">
        <v>0</v>
      </c>
      <c r="N366" s="9">
        <f t="shared" si="29"/>
        <v>15</v>
      </c>
      <c r="O366" s="29">
        <f>M370</f>
        <v>109</v>
      </c>
      <c r="P366" s="29">
        <f>L366</f>
        <v>15</v>
      </c>
      <c r="Q366" s="29">
        <f>P366+O366</f>
        <v>124</v>
      </c>
      <c r="R366" s="11">
        <v>0</v>
      </c>
      <c r="S366" s="1">
        <v>0.11</v>
      </c>
      <c r="T366" s="1">
        <f t="shared" si="30"/>
        <v>0.11</v>
      </c>
      <c r="U366" s="12">
        <v>0</v>
      </c>
      <c r="V366" s="13">
        <v>25.788505000000001</v>
      </c>
      <c r="W366" s="14">
        <f t="shared" si="31"/>
        <v>4255.103325</v>
      </c>
      <c r="X366" s="14">
        <f>SUM(W366:W370)</f>
        <v>42753.348947500002</v>
      </c>
      <c r="Y366" s="14">
        <f t="shared" si="35"/>
        <v>4255.103325</v>
      </c>
      <c r="Z366" s="15">
        <f>SUM(Y366:Y370)/10^6*10^4</f>
        <v>392.08418761300004</v>
      </c>
      <c r="AA366" s="16">
        <v>55.111026843911532</v>
      </c>
      <c r="AB366" s="5"/>
      <c r="AC366" s="1"/>
      <c r="AD366" s="28"/>
      <c r="AE366" s="28"/>
      <c r="AF366" s="3"/>
      <c r="AG366" s="7"/>
      <c r="AH366" s="7"/>
      <c r="AI366" s="3" t="s">
        <v>107</v>
      </c>
      <c r="AJ366" s="7" t="s">
        <v>53</v>
      </c>
      <c r="AK366" s="3"/>
      <c r="AL366" cm="1">
        <f t="array" ref="AL366">IF(getColor(V366) = 16777215, 0, 1)</f>
        <v>0</v>
      </c>
    </row>
    <row r="367" spans="1:38">
      <c r="A367" s="1">
        <v>366</v>
      </c>
      <c r="B367" s="3" t="s">
        <v>27</v>
      </c>
      <c r="C367" s="7" t="s">
        <v>238</v>
      </c>
      <c r="D367" s="7" t="s">
        <v>206</v>
      </c>
      <c r="E367" s="8">
        <v>55.070766666666671</v>
      </c>
      <c r="F367" s="8">
        <v>-132.88746666666665</v>
      </c>
      <c r="G367" s="9" t="s">
        <v>30</v>
      </c>
      <c r="H367" s="3" t="s">
        <v>31</v>
      </c>
      <c r="I367" s="3" t="s">
        <v>31</v>
      </c>
      <c r="J367" s="3" t="s">
        <v>31</v>
      </c>
      <c r="K367" s="7" t="s">
        <v>47</v>
      </c>
      <c r="L367" s="9">
        <v>0</v>
      </c>
      <c r="M367" s="9">
        <v>1</v>
      </c>
      <c r="N367" s="9">
        <f t="shared" si="29"/>
        <v>1</v>
      </c>
      <c r="O367" s="9"/>
      <c r="P367" s="9"/>
      <c r="Q367" s="25"/>
      <c r="R367" s="11">
        <v>0</v>
      </c>
      <c r="S367" s="1">
        <v>0.93</v>
      </c>
      <c r="T367" s="1">
        <f t="shared" si="30"/>
        <v>0.93</v>
      </c>
      <c r="U367" s="12">
        <v>6</v>
      </c>
      <c r="V367" s="13">
        <v>4.3350949999999999</v>
      </c>
      <c r="W367" s="14">
        <f t="shared" si="31"/>
        <v>378.97400489999995</v>
      </c>
      <c r="X367" s="25"/>
      <c r="Y367" s="14">
        <f t="shared" si="35"/>
        <v>378.97400489999995</v>
      </c>
      <c r="Z367" s="3"/>
      <c r="AA367" s="3"/>
      <c r="AB367" s="5"/>
      <c r="AC367" s="5"/>
      <c r="AD367" s="28"/>
      <c r="AE367" s="28"/>
      <c r="AF367" s="3"/>
      <c r="AG367" s="7"/>
      <c r="AH367" s="7"/>
      <c r="AI367" s="3" t="s">
        <v>107</v>
      </c>
      <c r="AJ367" s="7" t="s">
        <v>47</v>
      </c>
      <c r="AK367" s="3"/>
      <c r="AL367" cm="1">
        <f t="array" ref="AL367">IF(getColor(V367) = 16777215, 0, 1)</f>
        <v>0</v>
      </c>
    </row>
    <row r="368" spans="1:38">
      <c r="A368" s="1">
        <v>367</v>
      </c>
      <c r="B368" s="3" t="s">
        <v>27</v>
      </c>
      <c r="C368" s="7" t="s">
        <v>238</v>
      </c>
      <c r="D368" s="7" t="s">
        <v>206</v>
      </c>
      <c r="E368" s="8">
        <v>55.070766666666671</v>
      </c>
      <c r="F368" s="8">
        <v>-132.88746666666665</v>
      </c>
      <c r="G368" s="9" t="s">
        <v>30</v>
      </c>
      <c r="H368" s="3" t="s">
        <v>31</v>
      </c>
      <c r="I368" s="3" t="s">
        <v>31</v>
      </c>
      <c r="J368" s="3" t="s">
        <v>31</v>
      </c>
      <c r="K368" s="7" t="s">
        <v>68</v>
      </c>
      <c r="L368" s="9">
        <v>1</v>
      </c>
      <c r="M368" s="9">
        <v>5</v>
      </c>
      <c r="N368" s="9">
        <f t="shared" si="29"/>
        <v>4</v>
      </c>
      <c r="O368" s="9"/>
      <c r="P368" s="9"/>
      <c r="Q368" s="25"/>
      <c r="R368" s="11">
        <v>0</v>
      </c>
      <c r="S368" s="1">
        <v>0.86</v>
      </c>
      <c r="T368" s="1">
        <f t="shared" si="30"/>
        <v>0.86</v>
      </c>
      <c r="U368" s="12">
        <v>2</v>
      </c>
      <c r="V368" s="13">
        <v>4.296475</v>
      </c>
      <c r="W368" s="14">
        <f t="shared" si="31"/>
        <v>1448.4276519999996</v>
      </c>
      <c r="X368" s="25"/>
      <c r="Y368" s="14">
        <f t="shared" si="35"/>
        <v>1448.4276519999996</v>
      </c>
      <c r="Z368" s="3"/>
      <c r="AA368" s="3"/>
      <c r="AB368" s="5"/>
      <c r="AC368" s="1"/>
      <c r="AD368" s="28"/>
      <c r="AE368" s="28"/>
      <c r="AF368" s="3"/>
      <c r="AG368" s="7"/>
      <c r="AH368" s="7"/>
      <c r="AI368" s="3" t="s">
        <v>107</v>
      </c>
      <c r="AJ368" s="7" t="s">
        <v>68</v>
      </c>
      <c r="AK368" s="3"/>
      <c r="AL368" cm="1">
        <f t="array" ref="AL368">IF(getColor(V368) = 16777215, 0, 1)</f>
        <v>0</v>
      </c>
    </row>
    <row r="369" spans="1:38">
      <c r="A369" s="1">
        <v>368</v>
      </c>
      <c r="B369" s="3" t="s">
        <v>27</v>
      </c>
      <c r="C369" s="7" t="s">
        <v>238</v>
      </c>
      <c r="D369" s="7" t="s">
        <v>206</v>
      </c>
      <c r="E369" s="8">
        <v>55.070766666666671</v>
      </c>
      <c r="F369" s="8">
        <v>-132.88746666666665</v>
      </c>
      <c r="G369" s="9" t="s">
        <v>30</v>
      </c>
      <c r="H369" s="3" t="s">
        <v>31</v>
      </c>
      <c r="I369" s="3" t="s">
        <v>31</v>
      </c>
      <c r="J369" s="3" t="s">
        <v>31</v>
      </c>
      <c r="K369" s="7" t="s">
        <v>69</v>
      </c>
      <c r="L369" s="9">
        <v>5</v>
      </c>
      <c r="M369" s="9">
        <v>33</v>
      </c>
      <c r="N369" s="9">
        <f t="shared" si="29"/>
        <v>28</v>
      </c>
      <c r="O369" s="9"/>
      <c r="P369" s="9"/>
      <c r="Q369" s="25"/>
      <c r="R369" s="11">
        <v>0</v>
      </c>
      <c r="S369" s="1">
        <v>1.17</v>
      </c>
      <c r="T369" s="1">
        <f t="shared" si="30"/>
        <v>1.17</v>
      </c>
      <c r="U369" s="12">
        <v>12</v>
      </c>
      <c r="V369" s="13">
        <v>2.3365100000000001</v>
      </c>
      <c r="W369" s="14">
        <f t="shared" si="31"/>
        <v>6735.8779488000009</v>
      </c>
      <c r="X369" s="25"/>
      <c r="Y369" s="14">
        <f t="shared" si="35"/>
        <v>6735.8779488000009</v>
      </c>
      <c r="Z369" s="3"/>
      <c r="AA369" s="3"/>
      <c r="AB369" s="5"/>
      <c r="AC369" s="1"/>
      <c r="AD369" s="28"/>
      <c r="AE369" s="28"/>
      <c r="AF369" s="3"/>
      <c r="AG369" s="7"/>
      <c r="AH369" s="7"/>
      <c r="AI369" s="3" t="s">
        <v>107</v>
      </c>
      <c r="AJ369" s="7" t="s">
        <v>70</v>
      </c>
      <c r="AK369" s="3"/>
      <c r="AL369" cm="1">
        <f t="array" ref="AL369">IF(getColor(V369) = 16777215, 0, 1)</f>
        <v>0</v>
      </c>
    </row>
    <row r="370" spans="1:38">
      <c r="A370" s="1">
        <v>369</v>
      </c>
      <c r="B370" s="3" t="s">
        <v>27</v>
      </c>
      <c r="C370" s="7" t="s">
        <v>238</v>
      </c>
      <c r="D370" s="7" t="s">
        <v>206</v>
      </c>
      <c r="E370" s="8">
        <v>55.070766666666671</v>
      </c>
      <c r="F370" s="8">
        <v>-132.88746666666665</v>
      </c>
      <c r="G370" s="9" t="s">
        <v>30</v>
      </c>
      <c r="H370" s="3" t="s">
        <v>31</v>
      </c>
      <c r="I370" s="3" t="s">
        <v>31</v>
      </c>
      <c r="J370" s="3" t="s">
        <v>31</v>
      </c>
      <c r="K370" s="7" t="s">
        <v>71</v>
      </c>
      <c r="L370" s="9">
        <v>33</v>
      </c>
      <c r="M370" s="9">
        <v>109</v>
      </c>
      <c r="N370" s="9">
        <f t="shared" si="29"/>
        <v>76</v>
      </c>
      <c r="O370" s="9"/>
      <c r="P370" s="9"/>
      <c r="Q370" s="25"/>
      <c r="R370" s="11">
        <v>0</v>
      </c>
      <c r="S370" s="1">
        <v>1.17</v>
      </c>
      <c r="T370" s="1">
        <f t="shared" si="30"/>
        <v>1.17</v>
      </c>
      <c r="U370" s="12">
        <v>8</v>
      </c>
      <c r="V370" s="13">
        <v>3.6592450000000003</v>
      </c>
      <c r="W370" s="14">
        <f t="shared" si="31"/>
        <v>29934.966016800001</v>
      </c>
      <c r="X370" s="25"/>
      <c r="Y370" s="14">
        <f>IF(L370&gt;-100,W370-W370*(ABS(M370)-100)/(ABS(M370)-ABS(L370)),0)</f>
        <v>26390.035830600002</v>
      </c>
      <c r="Z370" s="3"/>
      <c r="AA370" s="3"/>
      <c r="AB370" s="5"/>
      <c r="AC370" s="1"/>
      <c r="AD370" s="28"/>
      <c r="AE370" s="28"/>
      <c r="AF370" s="3"/>
      <c r="AG370" s="7"/>
      <c r="AH370" s="7"/>
      <c r="AI370" s="3" t="s">
        <v>107</v>
      </c>
      <c r="AJ370" s="7" t="s">
        <v>72</v>
      </c>
      <c r="AK370" s="3"/>
      <c r="AL370" cm="1">
        <f t="array" ref="AL370">IF(getColor(V370) = 16777215, 0, 1)</f>
        <v>0</v>
      </c>
    </row>
    <row r="371" spans="1:38">
      <c r="A371" s="1">
        <v>370</v>
      </c>
      <c r="B371" s="3" t="s">
        <v>27</v>
      </c>
      <c r="C371" s="7" t="s">
        <v>239</v>
      </c>
      <c r="D371" s="7" t="s">
        <v>206</v>
      </c>
      <c r="E371" s="8">
        <v>55.070766666666671</v>
      </c>
      <c r="F371" s="8">
        <v>-132.88746666666665</v>
      </c>
      <c r="G371" s="9" t="s">
        <v>30</v>
      </c>
      <c r="H371" s="3" t="s">
        <v>31</v>
      </c>
      <c r="I371" s="3" t="s">
        <v>31</v>
      </c>
      <c r="J371" s="3" t="s">
        <v>31</v>
      </c>
      <c r="K371" s="7" t="s">
        <v>172</v>
      </c>
      <c r="L371" s="9">
        <v>40</v>
      </c>
      <c r="M371" s="9">
        <v>25</v>
      </c>
      <c r="N371" s="9">
        <f t="shared" si="29"/>
        <v>15</v>
      </c>
      <c r="O371" s="29">
        <f>M376</f>
        <v>100</v>
      </c>
      <c r="P371" s="29">
        <f>L371</f>
        <v>40</v>
      </c>
      <c r="Q371" s="29">
        <f>P371+O371</f>
        <v>140</v>
      </c>
      <c r="R371" s="11">
        <v>0</v>
      </c>
      <c r="S371" s="1">
        <v>0.11</v>
      </c>
      <c r="T371" s="1">
        <f t="shared" si="30"/>
        <v>0.11</v>
      </c>
      <c r="U371" s="12">
        <v>0</v>
      </c>
      <c r="V371" s="13">
        <v>17.745889999999999</v>
      </c>
      <c r="W371" s="14">
        <f t="shared" si="31"/>
        <v>2928.0718500000003</v>
      </c>
      <c r="X371" s="14">
        <f>SUM(W371:W376)</f>
        <v>43469.730251300003</v>
      </c>
      <c r="Y371" s="14">
        <f t="shared" ref="Y371:Y390" si="36">T371*V371/100*N371*100*100*((100-U371)/100)</f>
        <v>2928.0718500000003</v>
      </c>
      <c r="Z371" s="15">
        <f>SUM(Y371:Y376)/10^6*10^4</f>
        <v>434.69730251300001</v>
      </c>
      <c r="AA371" s="16">
        <v>86.934586317028035</v>
      </c>
      <c r="AB371" s="5"/>
      <c r="AC371" s="1"/>
      <c r="AD371" s="28"/>
      <c r="AE371" s="28"/>
      <c r="AF371" s="3"/>
      <c r="AG371" s="7"/>
      <c r="AH371" s="7"/>
      <c r="AI371" s="3" t="s">
        <v>107</v>
      </c>
      <c r="AJ371" s="7" t="s">
        <v>172</v>
      </c>
      <c r="AK371" s="3"/>
      <c r="AL371" cm="1">
        <f t="array" ref="AL371">IF(getColor(V371) = 16777215, 0, 1)</f>
        <v>0</v>
      </c>
    </row>
    <row r="372" spans="1:38">
      <c r="A372" s="1">
        <v>371</v>
      </c>
      <c r="B372" s="3" t="s">
        <v>27</v>
      </c>
      <c r="C372" s="7" t="s">
        <v>239</v>
      </c>
      <c r="D372" s="7" t="s">
        <v>206</v>
      </c>
      <c r="E372" s="8">
        <v>55.070766666666671</v>
      </c>
      <c r="F372" s="8">
        <v>-132.88746666666665</v>
      </c>
      <c r="G372" s="9" t="s">
        <v>30</v>
      </c>
      <c r="H372" s="3" t="s">
        <v>31</v>
      </c>
      <c r="I372" s="3" t="s">
        <v>31</v>
      </c>
      <c r="J372" s="3" t="s">
        <v>31</v>
      </c>
      <c r="K372" s="7" t="s">
        <v>173</v>
      </c>
      <c r="L372" s="9">
        <v>25</v>
      </c>
      <c r="M372" s="9">
        <v>0</v>
      </c>
      <c r="N372" s="9">
        <f t="shared" si="29"/>
        <v>25</v>
      </c>
      <c r="O372" s="9"/>
      <c r="P372" s="9"/>
      <c r="Q372" s="25"/>
      <c r="R372" s="11">
        <v>0</v>
      </c>
      <c r="S372" s="1">
        <v>0.11</v>
      </c>
      <c r="T372" s="1">
        <f t="shared" si="30"/>
        <v>0.11</v>
      </c>
      <c r="U372" s="12">
        <v>0</v>
      </c>
      <c r="V372" s="13">
        <v>23.789920000000002</v>
      </c>
      <c r="W372" s="14">
        <f t="shared" si="31"/>
        <v>6542.2280000000019</v>
      </c>
      <c r="X372" s="25"/>
      <c r="Y372" s="14">
        <f t="shared" si="36"/>
        <v>6542.2280000000019</v>
      </c>
      <c r="Z372" s="3"/>
      <c r="AA372" s="3"/>
      <c r="AB372" s="5"/>
      <c r="AC372" s="5"/>
      <c r="AD372" s="28"/>
      <c r="AE372" s="28"/>
      <c r="AF372" s="3"/>
      <c r="AG372" s="7"/>
      <c r="AH372" s="7"/>
      <c r="AI372" s="3" t="s">
        <v>107</v>
      </c>
      <c r="AJ372" s="7" t="s">
        <v>173</v>
      </c>
      <c r="AK372" s="3"/>
      <c r="AL372" cm="1">
        <f t="array" ref="AL372">IF(getColor(V372) = 16777215, 0, 1)</f>
        <v>0</v>
      </c>
    </row>
    <row r="373" spans="1:38">
      <c r="A373" s="1">
        <v>372</v>
      </c>
      <c r="B373" s="3" t="s">
        <v>27</v>
      </c>
      <c r="C373" s="7" t="s">
        <v>239</v>
      </c>
      <c r="D373" s="7" t="s">
        <v>206</v>
      </c>
      <c r="E373" s="8">
        <v>55.070766666666671</v>
      </c>
      <c r="F373" s="8">
        <v>-132.88746666666665</v>
      </c>
      <c r="G373" s="9" t="s">
        <v>30</v>
      </c>
      <c r="H373" s="3" t="s">
        <v>31</v>
      </c>
      <c r="I373" s="3" t="s">
        <v>31</v>
      </c>
      <c r="J373" s="3" t="s">
        <v>31</v>
      </c>
      <c r="K373" s="7" t="s">
        <v>47</v>
      </c>
      <c r="L373" s="9">
        <v>0</v>
      </c>
      <c r="M373" s="9">
        <v>3</v>
      </c>
      <c r="N373" s="9">
        <f t="shared" si="29"/>
        <v>3</v>
      </c>
      <c r="O373" s="9"/>
      <c r="P373" s="9"/>
      <c r="Q373" s="25"/>
      <c r="R373" s="11">
        <v>0</v>
      </c>
      <c r="S373" s="1">
        <v>0.93</v>
      </c>
      <c r="T373" s="1">
        <f t="shared" si="30"/>
        <v>0.93</v>
      </c>
      <c r="U373" s="12">
        <v>2</v>
      </c>
      <c r="V373" s="13">
        <v>2.210995</v>
      </c>
      <c r="W373" s="14">
        <f t="shared" si="31"/>
        <v>604.53025290000016</v>
      </c>
      <c r="X373" s="25"/>
      <c r="Y373" s="14">
        <f t="shared" si="36"/>
        <v>604.53025290000016</v>
      </c>
      <c r="Z373" s="3"/>
      <c r="AA373" s="3"/>
      <c r="AB373" s="5"/>
      <c r="AC373" s="1"/>
      <c r="AD373" s="28"/>
      <c r="AE373" s="28"/>
      <c r="AF373" s="3"/>
      <c r="AG373" s="7"/>
      <c r="AH373" s="7"/>
      <c r="AI373" s="3" t="s">
        <v>107</v>
      </c>
      <c r="AJ373" s="7" t="s">
        <v>47</v>
      </c>
      <c r="AK373" s="3"/>
      <c r="AL373" cm="1">
        <f t="array" ref="AL373">IF(getColor(V373) = 16777215, 0, 1)</f>
        <v>0</v>
      </c>
    </row>
    <row r="374" spans="1:38">
      <c r="A374" s="1">
        <v>373</v>
      </c>
      <c r="B374" s="3" t="s">
        <v>27</v>
      </c>
      <c r="C374" s="7" t="s">
        <v>239</v>
      </c>
      <c r="D374" s="7" t="s">
        <v>206</v>
      </c>
      <c r="E374" s="8">
        <v>55.070766666666671</v>
      </c>
      <c r="F374" s="8">
        <v>-132.88746666666665</v>
      </c>
      <c r="G374" s="9" t="s">
        <v>30</v>
      </c>
      <c r="H374" s="3" t="s">
        <v>31</v>
      </c>
      <c r="I374" s="3" t="s">
        <v>31</v>
      </c>
      <c r="J374" s="3" t="s">
        <v>31</v>
      </c>
      <c r="K374" s="7" t="s">
        <v>68</v>
      </c>
      <c r="L374" s="9">
        <v>3</v>
      </c>
      <c r="M374" s="9">
        <v>20</v>
      </c>
      <c r="N374" s="9">
        <f t="shared" si="29"/>
        <v>17</v>
      </c>
      <c r="O374" s="9"/>
      <c r="P374" s="9"/>
      <c r="Q374" s="25"/>
      <c r="R374" s="11">
        <v>0</v>
      </c>
      <c r="S374" s="1">
        <v>0.86</v>
      </c>
      <c r="T374" s="1">
        <f t="shared" si="30"/>
        <v>0.86</v>
      </c>
      <c r="U374" s="12">
        <v>3</v>
      </c>
      <c r="V374" s="13">
        <v>8.4577799999999996</v>
      </c>
      <c r="W374" s="14">
        <f t="shared" si="31"/>
        <v>11994.3161292</v>
      </c>
      <c r="X374" s="25"/>
      <c r="Y374" s="14">
        <f t="shared" si="36"/>
        <v>11994.3161292</v>
      </c>
      <c r="Z374" s="3"/>
      <c r="AA374" s="3"/>
      <c r="AB374" s="5"/>
      <c r="AC374" s="1"/>
      <c r="AD374" s="28"/>
      <c r="AE374" s="28"/>
      <c r="AF374" s="3"/>
      <c r="AG374" s="7"/>
      <c r="AH374" s="7"/>
      <c r="AI374" s="3" t="s">
        <v>107</v>
      </c>
      <c r="AJ374" s="7" t="s">
        <v>68</v>
      </c>
      <c r="AK374" s="3"/>
      <c r="AL374" cm="1">
        <f t="array" ref="AL374">IF(getColor(V374) = 16777215, 0, 1)</f>
        <v>0</v>
      </c>
    </row>
    <row r="375" spans="1:38">
      <c r="A375" s="1">
        <v>374</v>
      </c>
      <c r="B375" s="3" t="s">
        <v>27</v>
      </c>
      <c r="C375" s="7" t="s">
        <v>239</v>
      </c>
      <c r="D375" s="7" t="s">
        <v>206</v>
      </c>
      <c r="E375" s="8">
        <v>55.070766666666671</v>
      </c>
      <c r="F375" s="8">
        <v>-132.88746666666665</v>
      </c>
      <c r="G375" s="9" t="s">
        <v>30</v>
      </c>
      <c r="H375" s="3" t="s">
        <v>31</v>
      </c>
      <c r="I375" s="3" t="s">
        <v>31</v>
      </c>
      <c r="J375" s="3" t="s">
        <v>31</v>
      </c>
      <c r="K375" s="7" t="s">
        <v>41</v>
      </c>
      <c r="L375" s="9">
        <v>20</v>
      </c>
      <c r="M375" s="9">
        <v>52</v>
      </c>
      <c r="N375" s="9">
        <f t="shared" si="29"/>
        <v>32</v>
      </c>
      <c r="O375" s="9"/>
      <c r="P375" s="9"/>
      <c r="Q375" s="25"/>
      <c r="R375" s="11">
        <v>0</v>
      </c>
      <c r="S375" s="1">
        <v>1.17</v>
      </c>
      <c r="T375" s="1">
        <f t="shared" si="30"/>
        <v>1.17</v>
      </c>
      <c r="U375" s="12">
        <v>7</v>
      </c>
      <c r="V375" s="13">
        <v>2.3365100000000001</v>
      </c>
      <c r="W375" s="14">
        <f t="shared" si="31"/>
        <v>8135.5408992000002</v>
      </c>
      <c r="X375" s="25"/>
      <c r="Y375" s="14">
        <f t="shared" si="36"/>
        <v>8135.5408992000002</v>
      </c>
      <c r="Z375" s="3"/>
      <c r="AA375" s="3"/>
      <c r="AB375" s="5"/>
      <c r="AC375" s="1"/>
      <c r="AD375" s="28"/>
      <c r="AE375" s="28"/>
      <c r="AF375" s="3"/>
      <c r="AG375" s="7"/>
      <c r="AH375" s="7"/>
      <c r="AI375" s="3" t="s">
        <v>107</v>
      </c>
      <c r="AJ375" s="7" t="s">
        <v>61</v>
      </c>
      <c r="AK375" s="3"/>
      <c r="AL375" cm="1">
        <f t="array" ref="AL375">IF(getColor(V375) = 16777215, 0, 1)</f>
        <v>0</v>
      </c>
    </row>
    <row r="376" spans="1:38">
      <c r="A376" s="1">
        <v>375</v>
      </c>
      <c r="B376" s="3" t="s">
        <v>27</v>
      </c>
      <c r="C376" s="7" t="s">
        <v>239</v>
      </c>
      <c r="D376" s="7" t="s">
        <v>206</v>
      </c>
      <c r="E376" s="8">
        <v>55.070766666666671</v>
      </c>
      <c r="F376" s="8">
        <v>-132.88746666666665</v>
      </c>
      <c r="G376" s="9" t="s">
        <v>30</v>
      </c>
      <c r="H376" s="3" t="s">
        <v>31</v>
      </c>
      <c r="I376" s="3" t="s">
        <v>31</v>
      </c>
      <c r="J376" s="3" t="s">
        <v>31</v>
      </c>
      <c r="K376" s="7" t="s">
        <v>44</v>
      </c>
      <c r="L376" s="9">
        <v>52</v>
      </c>
      <c r="M376" s="9">
        <v>100</v>
      </c>
      <c r="N376" s="9">
        <f t="shared" si="29"/>
        <v>48</v>
      </c>
      <c r="O376" s="9"/>
      <c r="P376" s="9"/>
      <c r="Q376" s="25"/>
      <c r="R376" s="11">
        <v>0</v>
      </c>
      <c r="S376" s="1">
        <v>1.74</v>
      </c>
      <c r="T376" s="1">
        <f t="shared" si="30"/>
        <v>1.74</v>
      </c>
      <c r="U376" s="12">
        <v>6</v>
      </c>
      <c r="V376" s="13">
        <v>1.6896249999999999</v>
      </c>
      <c r="W376" s="14">
        <f t="shared" si="31"/>
        <v>13265.043119999998</v>
      </c>
      <c r="X376" s="25"/>
      <c r="Y376" s="14">
        <f t="shared" si="36"/>
        <v>13265.043119999998</v>
      </c>
      <c r="Z376" s="3"/>
      <c r="AA376" s="3"/>
      <c r="AB376" s="5"/>
      <c r="AC376" s="1"/>
      <c r="AD376" s="28"/>
      <c r="AE376" s="28"/>
      <c r="AF376" s="3"/>
      <c r="AG376" s="7"/>
      <c r="AH376" s="7"/>
      <c r="AI376" s="3" t="s">
        <v>107</v>
      </c>
      <c r="AJ376" s="7" t="s">
        <v>44</v>
      </c>
      <c r="AK376" s="3"/>
      <c r="AL376" cm="1">
        <f t="array" ref="AL376">IF(getColor(V376) = 16777215, 0, 1)</f>
        <v>0</v>
      </c>
    </row>
    <row r="377" spans="1:38">
      <c r="A377" s="1">
        <v>376</v>
      </c>
      <c r="B377" s="3" t="s">
        <v>27</v>
      </c>
      <c r="C377" s="7" t="s">
        <v>240</v>
      </c>
      <c r="D377" s="7" t="s">
        <v>206</v>
      </c>
      <c r="E377" s="8">
        <v>55.070766666666671</v>
      </c>
      <c r="F377" s="8">
        <v>-132.88746666666665</v>
      </c>
      <c r="G377" s="9" t="s">
        <v>30</v>
      </c>
      <c r="H377" s="3" t="s">
        <v>31</v>
      </c>
      <c r="I377" s="3" t="s">
        <v>31</v>
      </c>
      <c r="J377" s="3" t="s">
        <v>31</v>
      </c>
      <c r="K377" s="7" t="s">
        <v>53</v>
      </c>
      <c r="L377" s="9">
        <v>3</v>
      </c>
      <c r="M377" s="9">
        <v>0</v>
      </c>
      <c r="N377" s="9">
        <f t="shared" si="29"/>
        <v>3</v>
      </c>
      <c r="O377" s="29">
        <f>M379</f>
        <v>54</v>
      </c>
      <c r="P377" s="29">
        <f>L377</f>
        <v>3</v>
      </c>
      <c r="Q377" s="29">
        <f>P377+O377</f>
        <v>57</v>
      </c>
      <c r="R377" s="11">
        <v>0</v>
      </c>
      <c r="S377" s="1">
        <v>0.11</v>
      </c>
      <c r="T377" s="1">
        <f t="shared" si="30"/>
        <v>0.11</v>
      </c>
      <c r="U377" s="12">
        <v>0</v>
      </c>
      <c r="V377" s="13">
        <v>13.954509</v>
      </c>
      <c r="W377" s="14">
        <f t="shared" si="31"/>
        <v>460.49879700000008</v>
      </c>
      <c r="X377" s="14">
        <f>SUM(W377:W379)</f>
        <v>28478.601593459993</v>
      </c>
      <c r="Y377" s="14">
        <f t="shared" si="36"/>
        <v>460.49879700000008</v>
      </c>
      <c r="Z377" s="15">
        <f>SUM(Y377:Y379)/10^6*10^4</f>
        <v>284.7860159345999</v>
      </c>
      <c r="AA377" s="16">
        <v>17.59280596586456</v>
      </c>
      <c r="AB377" s="5"/>
      <c r="AC377" s="1"/>
      <c r="AD377" s="28"/>
      <c r="AE377" s="28"/>
      <c r="AF377" s="3"/>
      <c r="AG377" s="7"/>
      <c r="AH377" s="7"/>
      <c r="AI377" s="3" t="s">
        <v>107</v>
      </c>
      <c r="AJ377" s="7" t="s">
        <v>53</v>
      </c>
      <c r="AK377" s="3"/>
      <c r="AL377" cm="1">
        <f t="array" ref="AL377">IF(getColor(V377) = 16777215, 0, 1)</f>
        <v>0</v>
      </c>
    </row>
    <row r="378" spans="1:38">
      <c r="A378" s="1">
        <v>377</v>
      </c>
      <c r="B378" s="3" t="s">
        <v>27</v>
      </c>
      <c r="C378" s="7" t="s">
        <v>240</v>
      </c>
      <c r="D378" s="7" t="s">
        <v>206</v>
      </c>
      <c r="E378" s="8">
        <v>55.070766666666671</v>
      </c>
      <c r="F378" s="8">
        <v>-132.88746666666665</v>
      </c>
      <c r="G378" s="9" t="s">
        <v>30</v>
      </c>
      <c r="H378" s="3" t="s">
        <v>31</v>
      </c>
      <c r="I378" s="3" t="s">
        <v>31</v>
      </c>
      <c r="J378" s="3" t="s">
        <v>31</v>
      </c>
      <c r="K378" s="7" t="s">
        <v>80</v>
      </c>
      <c r="L378" s="9">
        <v>0</v>
      </c>
      <c r="M378" s="9">
        <v>15</v>
      </c>
      <c r="N378" s="9">
        <f t="shared" si="29"/>
        <v>15</v>
      </c>
      <c r="O378" s="9"/>
      <c r="P378" s="9"/>
      <c r="Q378" s="25"/>
      <c r="R378" s="11">
        <v>0</v>
      </c>
      <c r="S378" s="1">
        <v>1.74</v>
      </c>
      <c r="T378" s="1">
        <f t="shared" si="30"/>
        <v>1.74</v>
      </c>
      <c r="U378" s="12">
        <v>19</v>
      </c>
      <c r="V378" s="13">
        <v>3.7373669999999994</v>
      </c>
      <c r="W378" s="14">
        <f t="shared" si="31"/>
        <v>7901.167574699999</v>
      </c>
      <c r="X378" s="25"/>
      <c r="Y378" s="14">
        <f t="shared" si="36"/>
        <v>7901.167574699999</v>
      </c>
      <c r="Z378" s="3"/>
      <c r="AA378" s="3"/>
      <c r="AB378" s="5"/>
      <c r="AC378" s="5"/>
      <c r="AD378" s="28"/>
      <c r="AE378" s="28"/>
      <c r="AF378" s="3"/>
      <c r="AG378" s="7"/>
      <c r="AH378" s="7"/>
      <c r="AI378" s="3" t="s">
        <v>107</v>
      </c>
      <c r="AJ378" s="7" t="s">
        <v>80</v>
      </c>
      <c r="AK378" s="3"/>
      <c r="AL378" cm="1">
        <f t="array" ref="AL378">IF(getColor(V378) = 16777215, 0, 1)</f>
        <v>0</v>
      </c>
    </row>
    <row r="379" spans="1:38">
      <c r="A379" s="1">
        <v>378</v>
      </c>
      <c r="B379" s="3" t="s">
        <v>27</v>
      </c>
      <c r="C379" s="7" t="s">
        <v>240</v>
      </c>
      <c r="D379" s="7" t="s">
        <v>206</v>
      </c>
      <c r="E379" s="8">
        <v>55.070766666666671</v>
      </c>
      <c r="F379" s="8">
        <v>-132.88746666666665</v>
      </c>
      <c r="G379" s="9" t="s">
        <v>30</v>
      </c>
      <c r="H379" s="3" t="s">
        <v>31</v>
      </c>
      <c r="I379" s="3" t="s">
        <v>31</v>
      </c>
      <c r="J379" s="3" t="s">
        <v>31</v>
      </c>
      <c r="K379" s="7" t="s">
        <v>81</v>
      </c>
      <c r="L379" s="9">
        <v>15</v>
      </c>
      <c r="M379" s="9">
        <v>54</v>
      </c>
      <c r="N379" s="9">
        <f t="shared" si="29"/>
        <v>39</v>
      </c>
      <c r="O379" s="9"/>
      <c r="P379" s="9"/>
      <c r="Q379" s="25"/>
      <c r="R379" s="11">
        <v>0</v>
      </c>
      <c r="S379" s="1">
        <v>1.74</v>
      </c>
      <c r="T379" s="1">
        <f t="shared" si="30"/>
        <v>1.74</v>
      </c>
      <c r="U379" s="12">
        <v>36</v>
      </c>
      <c r="V379" s="13">
        <v>4.6319939999999997</v>
      </c>
      <c r="W379" s="14">
        <f t="shared" si="31"/>
        <v>20116.935221759995</v>
      </c>
      <c r="X379" s="25"/>
      <c r="Y379" s="14">
        <f t="shared" si="36"/>
        <v>20116.935221759995</v>
      </c>
      <c r="Z379" s="3"/>
      <c r="AA379" s="3"/>
      <c r="AB379" s="5"/>
      <c r="AC379" s="1"/>
      <c r="AD379" s="28"/>
      <c r="AE379" s="28"/>
      <c r="AF379" s="3"/>
      <c r="AG379" s="7"/>
      <c r="AH379" s="7"/>
      <c r="AI379" s="3" t="s">
        <v>107</v>
      </c>
      <c r="AJ379" s="7" t="s">
        <v>81</v>
      </c>
      <c r="AK379" s="3"/>
      <c r="AL379" cm="1">
        <f t="array" ref="AL379">IF(getColor(V379) = 16777215, 0, 1)</f>
        <v>0</v>
      </c>
    </row>
    <row r="380" spans="1:38">
      <c r="A380" s="1">
        <v>379</v>
      </c>
      <c r="B380" s="3" t="s">
        <v>27</v>
      </c>
      <c r="C380" s="7" t="s">
        <v>241</v>
      </c>
      <c r="D380" s="7" t="s">
        <v>206</v>
      </c>
      <c r="E380" s="8">
        <v>55.070766666666671</v>
      </c>
      <c r="F380" s="8">
        <v>-132.88746666666665</v>
      </c>
      <c r="G380" s="9" t="s">
        <v>30</v>
      </c>
      <c r="H380" s="3" t="s">
        <v>31</v>
      </c>
      <c r="I380" s="3" t="s">
        <v>31</v>
      </c>
      <c r="J380" s="3" t="s">
        <v>31</v>
      </c>
      <c r="K380" s="7" t="s">
        <v>53</v>
      </c>
      <c r="L380" s="9">
        <v>3</v>
      </c>
      <c r="M380" s="9">
        <v>0</v>
      </c>
      <c r="N380" s="9">
        <f t="shared" si="29"/>
        <v>3</v>
      </c>
      <c r="O380" s="29">
        <f>M385</f>
        <v>100</v>
      </c>
      <c r="P380" s="29">
        <f>L380</f>
        <v>3</v>
      </c>
      <c r="Q380" s="29">
        <f>P380+O380</f>
        <v>103</v>
      </c>
      <c r="R380" s="11">
        <v>0</v>
      </c>
      <c r="S380" s="1">
        <v>0.11</v>
      </c>
      <c r="T380" s="1">
        <f t="shared" si="30"/>
        <v>0.11</v>
      </c>
      <c r="U380" s="12">
        <v>0</v>
      </c>
      <c r="V380" s="13">
        <v>21.781679999999998</v>
      </c>
      <c r="W380" s="14">
        <f t="shared" si="31"/>
        <v>718.79543999999987</v>
      </c>
      <c r="X380" s="14">
        <f>SUM(W380:W385)</f>
        <v>45093.088062249997</v>
      </c>
      <c r="Y380" s="14">
        <f t="shared" si="36"/>
        <v>718.79543999999987</v>
      </c>
      <c r="Z380" s="15">
        <f>SUM(Y380:Y385)/10^6*10^4</f>
        <v>450.93088062250001</v>
      </c>
      <c r="AA380" s="16">
        <v>41.452893225698347</v>
      </c>
      <c r="AB380" s="5"/>
      <c r="AC380" s="1"/>
      <c r="AD380" s="28"/>
      <c r="AE380" s="28"/>
      <c r="AF380" s="3"/>
      <c r="AG380" s="7"/>
      <c r="AH380" s="7"/>
      <c r="AI380" s="3" t="s">
        <v>107</v>
      </c>
      <c r="AJ380" s="7" t="s">
        <v>53</v>
      </c>
      <c r="AK380" s="3"/>
      <c r="AL380" cm="1">
        <f t="array" ref="AL380">IF(getColor(V380) = 16777215, 0, 1)</f>
        <v>0</v>
      </c>
    </row>
    <row r="381" spans="1:38">
      <c r="A381" s="1">
        <v>380</v>
      </c>
      <c r="B381" s="3" t="s">
        <v>27</v>
      </c>
      <c r="C381" s="7" t="s">
        <v>241</v>
      </c>
      <c r="D381" s="7" t="s">
        <v>206</v>
      </c>
      <c r="E381" s="8">
        <v>55.070766666666671</v>
      </c>
      <c r="F381" s="8">
        <v>-132.88746666666665</v>
      </c>
      <c r="G381" s="9" t="s">
        <v>30</v>
      </c>
      <c r="H381" s="3" t="s">
        <v>31</v>
      </c>
      <c r="I381" s="3" t="s">
        <v>31</v>
      </c>
      <c r="J381" s="3" t="s">
        <v>31</v>
      </c>
      <c r="K381" s="7" t="s">
        <v>47</v>
      </c>
      <c r="L381" s="9">
        <v>0</v>
      </c>
      <c r="M381" s="9">
        <v>3</v>
      </c>
      <c r="N381" s="9">
        <f t="shared" si="29"/>
        <v>3</v>
      </c>
      <c r="O381" s="9"/>
      <c r="P381" s="9"/>
      <c r="Q381" s="25"/>
      <c r="R381" s="11">
        <v>0</v>
      </c>
      <c r="S381" s="1">
        <v>0.93</v>
      </c>
      <c r="T381" s="1">
        <f t="shared" si="30"/>
        <v>0.93</v>
      </c>
      <c r="U381" s="12">
        <v>5</v>
      </c>
      <c r="V381" s="13">
        <v>3.8137250000000003</v>
      </c>
      <c r="W381" s="14">
        <f t="shared" si="31"/>
        <v>1010.8278112499999</v>
      </c>
      <c r="X381" s="25"/>
      <c r="Y381" s="14">
        <f t="shared" si="36"/>
        <v>1010.8278112499999</v>
      </c>
      <c r="Z381" s="3"/>
      <c r="AA381" s="3"/>
      <c r="AB381" s="5"/>
      <c r="AC381" s="5"/>
      <c r="AD381" s="28"/>
      <c r="AE381" s="28"/>
      <c r="AF381" s="3"/>
      <c r="AG381" s="7"/>
      <c r="AH381" s="7"/>
      <c r="AI381" s="3" t="s">
        <v>107</v>
      </c>
      <c r="AJ381" s="7" t="s">
        <v>47</v>
      </c>
      <c r="AK381" s="3"/>
      <c r="AL381" cm="1">
        <f t="array" ref="AL381">IF(getColor(V381) = 16777215, 0, 1)</f>
        <v>0</v>
      </c>
    </row>
    <row r="382" spans="1:38">
      <c r="A382" s="1">
        <v>381</v>
      </c>
      <c r="B382" s="3" t="s">
        <v>27</v>
      </c>
      <c r="C382" s="7" t="s">
        <v>241</v>
      </c>
      <c r="D382" s="7" t="s">
        <v>206</v>
      </c>
      <c r="E382" s="8">
        <v>55.070766666666671</v>
      </c>
      <c r="F382" s="8">
        <v>-132.88746666666665</v>
      </c>
      <c r="G382" s="9" t="s">
        <v>30</v>
      </c>
      <c r="H382" s="3" t="s">
        <v>31</v>
      </c>
      <c r="I382" s="3" t="s">
        <v>31</v>
      </c>
      <c r="J382" s="3" t="s">
        <v>31</v>
      </c>
      <c r="K382" s="7" t="s">
        <v>101</v>
      </c>
      <c r="L382" s="9">
        <v>3</v>
      </c>
      <c r="M382" s="9">
        <v>15</v>
      </c>
      <c r="N382" s="9">
        <f t="shared" si="29"/>
        <v>12</v>
      </c>
      <c r="O382" s="9"/>
      <c r="P382" s="9"/>
      <c r="Q382" s="25"/>
      <c r="R382" s="11">
        <v>0</v>
      </c>
      <c r="S382" s="1">
        <v>0.86</v>
      </c>
      <c r="T382" s="1">
        <f t="shared" si="30"/>
        <v>0.86</v>
      </c>
      <c r="U382" s="12">
        <v>11</v>
      </c>
      <c r="V382" s="13">
        <v>5.4454199999999995</v>
      </c>
      <c r="W382" s="14">
        <f t="shared" si="31"/>
        <v>5001.5093615999986</v>
      </c>
      <c r="X382" s="25"/>
      <c r="Y382" s="14">
        <f t="shared" si="36"/>
        <v>5001.5093615999986</v>
      </c>
      <c r="Z382" s="3"/>
      <c r="AA382" s="3"/>
      <c r="AB382" s="5"/>
      <c r="AC382" s="1"/>
      <c r="AD382" s="28"/>
      <c r="AE382" s="28"/>
      <c r="AF382" s="3"/>
      <c r="AG382" s="7"/>
      <c r="AH382" s="7"/>
      <c r="AI382" s="3" t="s">
        <v>107</v>
      </c>
      <c r="AJ382" s="7" t="s">
        <v>102</v>
      </c>
      <c r="AK382" s="3"/>
      <c r="AL382" cm="1">
        <f t="array" ref="AL382">IF(getColor(V382) = 16777215, 0, 1)</f>
        <v>0</v>
      </c>
    </row>
    <row r="383" spans="1:38">
      <c r="A383" s="1">
        <v>382</v>
      </c>
      <c r="B383" s="3" t="s">
        <v>27</v>
      </c>
      <c r="C383" s="7" t="s">
        <v>241</v>
      </c>
      <c r="D383" s="7" t="s">
        <v>206</v>
      </c>
      <c r="E383" s="8">
        <v>55.070766666666671</v>
      </c>
      <c r="F383" s="8">
        <v>-132.88746666666665</v>
      </c>
      <c r="G383" s="9" t="s">
        <v>30</v>
      </c>
      <c r="H383" s="3" t="s">
        <v>31</v>
      </c>
      <c r="I383" s="3" t="s">
        <v>31</v>
      </c>
      <c r="J383" s="3" t="s">
        <v>31</v>
      </c>
      <c r="K383" s="7" t="s">
        <v>103</v>
      </c>
      <c r="L383" s="9">
        <v>15</v>
      </c>
      <c r="M383" s="9">
        <v>35</v>
      </c>
      <c r="N383" s="9">
        <f t="shared" si="29"/>
        <v>20</v>
      </c>
      <c r="O383" s="9"/>
      <c r="P383" s="9"/>
      <c r="Q383" s="25"/>
      <c r="R383" s="11">
        <v>0</v>
      </c>
      <c r="S383" s="1">
        <v>0.86</v>
      </c>
      <c r="T383" s="1">
        <f t="shared" si="30"/>
        <v>0.86</v>
      </c>
      <c r="U383" s="12">
        <v>7</v>
      </c>
      <c r="V383" s="13">
        <v>3.8909650000000005</v>
      </c>
      <c r="W383" s="14">
        <f t="shared" si="31"/>
        <v>6223.9876140000006</v>
      </c>
      <c r="X383" s="25"/>
      <c r="Y383" s="14">
        <f t="shared" si="36"/>
        <v>6223.9876140000006</v>
      </c>
      <c r="Z383" s="3"/>
      <c r="AA383" s="3"/>
      <c r="AB383" s="5"/>
      <c r="AC383" s="1"/>
      <c r="AD383" s="28"/>
      <c r="AE383" s="28"/>
      <c r="AF383" s="3"/>
      <c r="AG383" s="7"/>
      <c r="AH383" s="7"/>
      <c r="AI383" s="3" t="s">
        <v>107</v>
      </c>
      <c r="AJ383" s="7" t="s">
        <v>104</v>
      </c>
      <c r="AK383" s="3"/>
      <c r="AL383" cm="1">
        <f t="array" ref="AL383">IF(getColor(V383) = 16777215, 0, 1)</f>
        <v>0</v>
      </c>
    </row>
    <row r="384" spans="1:38">
      <c r="A384" s="1">
        <v>383</v>
      </c>
      <c r="B384" s="3" t="s">
        <v>27</v>
      </c>
      <c r="C384" s="7" t="s">
        <v>241</v>
      </c>
      <c r="D384" s="7" t="s">
        <v>206</v>
      </c>
      <c r="E384" s="8">
        <v>55.070766666666671</v>
      </c>
      <c r="F384" s="8">
        <v>-132.88746666666665</v>
      </c>
      <c r="G384" s="9" t="s">
        <v>30</v>
      </c>
      <c r="H384" s="3" t="s">
        <v>31</v>
      </c>
      <c r="I384" s="3" t="s">
        <v>31</v>
      </c>
      <c r="J384" s="3" t="s">
        <v>31</v>
      </c>
      <c r="K384" s="7" t="s">
        <v>242</v>
      </c>
      <c r="L384" s="9">
        <v>35</v>
      </c>
      <c r="M384" s="9">
        <v>52</v>
      </c>
      <c r="N384" s="9">
        <f t="shared" si="29"/>
        <v>17</v>
      </c>
      <c r="O384" s="9"/>
      <c r="P384" s="9"/>
      <c r="Q384" s="25"/>
      <c r="R384" s="11">
        <v>0</v>
      </c>
      <c r="S384" s="1">
        <v>0.86</v>
      </c>
      <c r="T384" s="1">
        <f t="shared" si="30"/>
        <v>0.86</v>
      </c>
      <c r="U384" s="12">
        <v>5</v>
      </c>
      <c r="V384" s="13">
        <v>3.3792499999999999</v>
      </c>
      <c r="W384" s="14">
        <f t="shared" si="31"/>
        <v>4693.4403249999996</v>
      </c>
      <c r="X384" s="25"/>
      <c r="Y384" s="14">
        <f t="shared" si="36"/>
        <v>4693.4403249999996</v>
      </c>
      <c r="Z384" s="3"/>
      <c r="AA384" s="3"/>
      <c r="AB384" s="5"/>
      <c r="AC384" s="1"/>
      <c r="AD384" s="28"/>
      <c r="AE384" s="28"/>
      <c r="AF384" s="3"/>
      <c r="AG384" s="7"/>
      <c r="AH384" s="7"/>
      <c r="AI384" s="3" t="s">
        <v>107</v>
      </c>
      <c r="AJ384" s="7" t="s">
        <v>243</v>
      </c>
      <c r="AK384" s="3"/>
      <c r="AL384" cm="1">
        <f t="array" ref="AL384">IF(getColor(V384) = 16777215, 0, 1)</f>
        <v>0</v>
      </c>
    </row>
    <row r="385" spans="1:38">
      <c r="A385" s="1">
        <v>384</v>
      </c>
      <c r="B385" s="3" t="s">
        <v>27</v>
      </c>
      <c r="C385" s="7" t="s">
        <v>241</v>
      </c>
      <c r="D385" s="7" t="s">
        <v>206</v>
      </c>
      <c r="E385" s="8">
        <v>55.070766666666671</v>
      </c>
      <c r="F385" s="8">
        <v>-132.88746666666665</v>
      </c>
      <c r="G385" s="9" t="s">
        <v>30</v>
      </c>
      <c r="H385" s="3" t="s">
        <v>31</v>
      </c>
      <c r="I385" s="3" t="s">
        <v>31</v>
      </c>
      <c r="J385" s="3" t="s">
        <v>31</v>
      </c>
      <c r="K385" s="7" t="s">
        <v>44</v>
      </c>
      <c r="L385" s="9">
        <v>52</v>
      </c>
      <c r="M385" s="9">
        <v>100</v>
      </c>
      <c r="N385" s="9">
        <f t="shared" si="29"/>
        <v>48</v>
      </c>
      <c r="O385" s="9"/>
      <c r="P385" s="9"/>
      <c r="Q385" s="25"/>
      <c r="R385" s="11">
        <v>0</v>
      </c>
      <c r="S385" s="1">
        <v>1.74</v>
      </c>
      <c r="T385" s="1">
        <f t="shared" si="30"/>
        <v>1.74</v>
      </c>
      <c r="U385" s="12">
        <v>9</v>
      </c>
      <c r="V385" s="13">
        <v>3.6109700000000005</v>
      </c>
      <c r="W385" s="14">
        <f t="shared" si="31"/>
        <v>27444.527510400003</v>
      </c>
      <c r="X385" s="25"/>
      <c r="Y385" s="14">
        <f t="shared" si="36"/>
        <v>27444.527510400003</v>
      </c>
      <c r="Z385" s="3"/>
      <c r="AA385" s="3"/>
      <c r="AB385" s="5"/>
      <c r="AC385" s="1"/>
      <c r="AD385" s="28"/>
      <c r="AE385" s="28"/>
      <c r="AF385" s="3"/>
      <c r="AG385" s="7"/>
      <c r="AH385" s="7"/>
      <c r="AI385" s="3" t="s">
        <v>107</v>
      </c>
      <c r="AJ385" s="7" t="s">
        <v>44</v>
      </c>
      <c r="AK385" s="3"/>
      <c r="AL385" cm="1">
        <f t="array" ref="AL385">IF(getColor(V385) = 16777215, 0, 1)</f>
        <v>0</v>
      </c>
    </row>
    <row r="386" spans="1:38">
      <c r="A386" s="1">
        <v>385</v>
      </c>
      <c r="B386" s="3" t="s">
        <v>27</v>
      </c>
      <c r="C386" s="7" t="s">
        <v>244</v>
      </c>
      <c r="D386" s="7" t="s">
        <v>206</v>
      </c>
      <c r="E386" s="8">
        <v>55.29163333333333</v>
      </c>
      <c r="F386" s="8">
        <v>-132.63048888888889</v>
      </c>
      <c r="G386" s="9" t="s">
        <v>30</v>
      </c>
      <c r="H386" s="3" t="s">
        <v>31</v>
      </c>
      <c r="I386" s="3" t="s">
        <v>31</v>
      </c>
      <c r="J386" s="3" t="s">
        <v>31</v>
      </c>
      <c r="K386" s="7" t="s">
        <v>53</v>
      </c>
      <c r="L386" s="9">
        <v>10</v>
      </c>
      <c r="M386" s="9">
        <v>0</v>
      </c>
      <c r="N386" s="9">
        <f t="shared" ref="N386:N449" si="37">ABS(M386-L386)</f>
        <v>10</v>
      </c>
      <c r="O386" s="29">
        <f>M391</f>
        <v>102</v>
      </c>
      <c r="P386" s="29">
        <f>L386</f>
        <v>10</v>
      </c>
      <c r="Q386" s="29">
        <f>P386+O386</f>
        <v>112</v>
      </c>
      <c r="R386" s="11">
        <v>0</v>
      </c>
      <c r="S386" s="1">
        <v>0.11</v>
      </c>
      <c r="T386" s="1">
        <f t="shared" ref="T386:T449" si="38">IF(R386=0,S386,R386)</f>
        <v>0.11</v>
      </c>
      <c r="U386" s="12">
        <v>0</v>
      </c>
      <c r="V386" s="13">
        <v>31.610470000000003</v>
      </c>
      <c r="W386" s="14">
        <f t="shared" si="31"/>
        <v>3477.1517000000003</v>
      </c>
      <c r="X386" s="14">
        <f>SUM(W386:W391)</f>
        <v>51598.864092500007</v>
      </c>
      <c r="Y386" s="14">
        <f t="shared" si="36"/>
        <v>3477.1517000000003</v>
      </c>
      <c r="Z386" s="15">
        <f>SUM(Y386:Y391)/10^6*10^4</f>
        <v>503.46062188500002</v>
      </c>
      <c r="AA386" s="16">
        <v>56.839309119756294</v>
      </c>
      <c r="AB386" s="5"/>
      <c r="AC386" s="1"/>
      <c r="AD386" s="28"/>
      <c r="AE386" s="28"/>
      <c r="AF386" s="3"/>
      <c r="AG386" s="7"/>
      <c r="AH386" s="7"/>
      <c r="AI386" s="3" t="s">
        <v>107</v>
      </c>
      <c r="AJ386" s="7" t="s">
        <v>53</v>
      </c>
      <c r="AK386" s="3"/>
      <c r="AL386" cm="1">
        <f t="array" ref="AL386">IF(getColor(V386) = 16777215, 0, 1)</f>
        <v>0</v>
      </c>
    </row>
    <row r="387" spans="1:38">
      <c r="A387" s="1">
        <v>386</v>
      </c>
      <c r="B387" s="3" t="s">
        <v>27</v>
      </c>
      <c r="C387" s="7" t="s">
        <v>244</v>
      </c>
      <c r="D387" s="7" t="s">
        <v>206</v>
      </c>
      <c r="E387" s="8">
        <v>55.29163333333333</v>
      </c>
      <c r="F387" s="8">
        <v>-132.63048888888889</v>
      </c>
      <c r="G387" s="9" t="s">
        <v>30</v>
      </c>
      <c r="H387" s="3" t="s">
        <v>31</v>
      </c>
      <c r="I387" s="3" t="s">
        <v>31</v>
      </c>
      <c r="J387" s="3" t="s">
        <v>31</v>
      </c>
      <c r="K387" s="7" t="s">
        <v>47</v>
      </c>
      <c r="L387" s="9">
        <v>0</v>
      </c>
      <c r="M387" s="9">
        <v>2</v>
      </c>
      <c r="N387" s="9">
        <f t="shared" si="37"/>
        <v>2</v>
      </c>
      <c r="O387" s="9"/>
      <c r="P387" s="9"/>
      <c r="Q387" s="25"/>
      <c r="R387" s="11">
        <v>0</v>
      </c>
      <c r="S387" s="1">
        <v>0.93</v>
      </c>
      <c r="T387" s="1">
        <f t="shared" si="38"/>
        <v>0.93</v>
      </c>
      <c r="U387" s="12">
        <v>5</v>
      </c>
      <c r="V387" s="13">
        <v>4.6826749999999997</v>
      </c>
      <c r="W387" s="14">
        <f t="shared" ref="W387:W450" si="39">T387*V387/100*N387*100*100*((100-U387)/100)</f>
        <v>827.42867249999995</v>
      </c>
      <c r="X387" s="25"/>
      <c r="Y387" s="14">
        <f t="shared" si="36"/>
        <v>827.42867249999995</v>
      </c>
      <c r="Z387" s="3"/>
      <c r="AA387" s="3"/>
      <c r="AB387" s="5"/>
      <c r="AC387" s="5"/>
      <c r="AD387" s="28"/>
      <c r="AE387" s="28"/>
      <c r="AF387" s="3"/>
      <c r="AG387" s="7"/>
      <c r="AH387" s="7"/>
      <c r="AI387" s="3" t="s">
        <v>107</v>
      </c>
      <c r="AJ387" s="7" t="s">
        <v>47</v>
      </c>
      <c r="AK387" s="3"/>
      <c r="AL387" cm="1">
        <f t="array" ref="AL387">IF(getColor(V387) = 16777215, 0, 1)</f>
        <v>0</v>
      </c>
    </row>
    <row r="388" spans="1:38">
      <c r="A388" s="1">
        <v>387</v>
      </c>
      <c r="B388" s="3" t="s">
        <v>27</v>
      </c>
      <c r="C388" s="7" t="s">
        <v>244</v>
      </c>
      <c r="D388" s="7" t="s">
        <v>206</v>
      </c>
      <c r="E388" s="8">
        <v>55.29163333333333</v>
      </c>
      <c r="F388" s="8">
        <v>-132.63048888888889</v>
      </c>
      <c r="G388" s="9" t="s">
        <v>30</v>
      </c>
      <c r="H388" s="3" t="s">
        <v>31</v>
      </c>
      <c r="I388" s="3" t="s">
        <v>31</v>
      </c>
      <c r="J388" s="3" t="s">
        <v>31</v>
      </c>
      <c r="K388" s="7" t="s">
        <v>101</v>
      </c>
      <c r="L388" s="9">
        <v>2</v>
      </c>
      <c r="M388" s="9">
        <v>13</v>
      </c>
      <c r="N388" s="9">
        <f t="shared" si="37"/>
        <v>11</v>
      </c>
      <c r="O388" s="9"/>
      <c r="P388" s="9"/>
      <c r="Q388" s="25"/>
      <c r="R388" s="11">
        <v>0</v>
      </c>
      <c r="S388" s="1">
        <v>0.86</v>
      </c>
      <c r="T388" s="1">
        <f t="shared" si="38"/>
        <v>0.86</v>
      </c>
      <c r="U388" s="12">
        <v>10</v>
      </c>
      <c r="V388" s="13">
        <v>4.8661200000000004</v>
      </c>
      <c r="W388" s="14">
        <f t="shared" si="39"/>
        <v>4143.0145680000005</v>
      </c>
      <c r="X388" s="25"/>
      <c r="Y388" s="14">
        <f t="shared" si="36"/>
        <v>4143.0145680000005</v>
      </c>
      <c r="Z388" s="3"/>
      <c r="AA388" s="3"/>
      <c r="AB388" s="5"/>
      <c r="AC388" s="1"/>
      <c r="AD388" s="28"/>
      <c r="AE388" s="28"/>
      <c r="AF388" s="3"/>
      <c r="AG388" s="7"/>
      <c r="AH388" s="7"/>
      <c r="AI388" s="3" t="s">
        <v>107</v>
      </c>
      <c r="AJ388" s="7" t="s">
        <v>102</v>
      </c>
      <c r="AK388" s="3"/>
      <c r="AL388" cm="1">
        <f t="array" ref="AL388">IF(getColor(V388) = 16777215, 0, 1)</f>
        <v>0</v>
      </c>
    </row>
    <row r="389" spans="1:38">
      <c r="A389" s="1">
        <v>388</v>
      </c>
      <c r="B389" s="3" t="s">
        <v>27</v>
      </c>
      <c r="C389" s="7" t="s">
        <v>244</v>
      </c>
      <c r="D389" s="7" t="s">
        <v>206</v>
      </c>
      <c r="E389" s="8">
        <v>55.29163333333333</v>
      </c>
      <c r="F389" s="8">
        <v>-132.63048888888889</v>
      </c>
      <c r="G389" s="9" t="s">
        <v>30</v>
      </c>
      <c r="H389" s="3" t="s">
        <v>31</v>
      </c>
      <c r="I389" s="3" t="s">
        <v>31</v>
      </c>
      <c r="J389" s="3" t="s">
        <v>31</v>
      </c>
      <c r="K389" s="7" t="s">
        <v>103</v>
      </c>
      <c r="L389" s="9">
        <v>13</v>
      </c>
      <c r="M389" s="9">
        <v>43</v>
      </c>
      <c r="N389" s="9">
        <f t="shared" si="37"/>
        <v>30</v>
      </c>
      <c r="O389" s="9"/>
      <c r="P389" s="9"/>
      <c r="Q389" s="25"/>
      <c r="R389" s="11">
        <v>0</v>
      </c>
      <c r="S389" s="1">
        <v>0.86</v>
      </c>
      <c r="T389" s="1">
        <f t="shared" si="38"/>
        <v>0.86</v>
      </c>
      <c r="U389" s="12">
        <v>9</v>
      </c>
      <c r="V389" s="13">
        <v>3.7364850000000001</v>
      </c>
      <c r="W389" s="14">
        <f t="shared" si="39"/>
        <v>8772.5194830000019</v>
      </c>
      <c r="X389" s="25"/>
      <c r="Y389" s="14">
        <f t="shared" si="36"/>
        <v>8772.5194830000019</v>
      </c>
      <c r="Z389" s="3"/>
      <c r="AA389" s="3"/>
      <c r="AB389" s="5"/>
      <c r="AC389" s="1"/>
      <c r="AD389" s="28"/>
      <c r="AE389" s="28"/>
      <c r="AF389" s="3"/>
      <c r="AG389" s="7"/>
      <c r="AH389" s="7"/>
      <c r="AI389" s="3" t="s">
        <v>107</v>
      </c>
      <c r="AJ389" s="7" t="s">
        <v>104</v>
      </c>
      <c r="AK389" s="3"/>
      <c r="AL389" cm="1">
        <f t="array" ref="AL389">IF(getColor(V389) = 16777215, 0, 1)</f>
        <v>0</v>
      </c>
    </row>
    <row r="390" spans="1:38">
      <c r="A390" s="1">
        <v>389</v>
      </c>
      <c r="B390" s="3" t="s">
        <v>27</v>
      </c>
      <c r="C390" s="7" t="s">
        <v>244</v>
      </c>
      <c r="D390" s="7" t="s">
        <v>206</v>
      </c>
      <c r="E390" s="8">
        <v>55.29163333333333</v>
      </c>
      <c r="F390" s="8">
        <v>-132.63048888888889</v>
      </c>
      <c r="G390" s="9" t="s">
        <v>30</v>
      </c>
      <c r="H390" s="3" t="s">
        <v>31</v>
      </c>
      <c r="I390" s="3" t="s">
        <v>31</v>
      </c>
      <c r="J390" s="3" t="s">
        <v>31</v>
      </c>
      <c r="K390" s="7" t="s">
        <v>79</v>
      </c>
      <c r="L390" s="9">
        <v>43</v>
      </c>
      <c r="M390" s="9">
        <v>81</v>
      </c>
      <c r="N390" s="9">
        <f t="shared" si="37"/>
        <v>38</v>
      </c>
      <c r="O390" s="9"/>
      <c r="P390" s="9"/>
      <c r="Q390" s="25"/>
      <c r="R390" s="11">
        <v>0</v>
      </c>
      <c r="S390" s="1">
        <v>1.71</v>
      </c>
      <c r="T390" s="1">
        <f t="shared" si="38"/>
        <v>1.71</v>
      </c>
      <c r="U390" s="12">
        <v>15</v>
      </c>
      <c r="V390" s="13">
        <v>3.8426900000000002</v>
      </c>
      <c r="W390" s="14">
        <f t="shared" si="39"/>
        <v>21224.329677000002</v>
      </c>
      <c r="X390" s="25"/>
      <c r="Y390" s="14">
        <f t="shared" si="36"/>
        <v>21224.329677000002</v>
      </c>
      <c r="Z390" s="3"/>
      <c r="AA390" s="3"/>
      <c r="AB390" s="5"/>
      <c r="AC390" s="1"/>
      <c r="AD390" s="28"/>
      <c r="AE390" s="28"/>
      <c r="AF390" s="3"/>
      <c r="AG390" s="7"/>
      <c r="AH390" s="7"/>
      <c r="AI390" s="3" t="s">
        <v>107</v>
      </c>
      <c r="AJ390" s="7" t="s">
        <v>79</v>
      </c>
      <c r="AK390" s="3"/>
      <c r="AL390" cm="1">
        <f t="array" ref="AL390">IF(getColor(V390) = 16777215, 0, 1)</f>
        <v>0</v>
      </c>
    </row>
    <row r="391" spans="1:38">
      <c r="A391" s="1">
        <v>390</v>
      </c>
      <c r="B391" s="3" t="s">
        <v>27</v>
      </c>
      <c r="C391" s="7" t="s">
        <v>244</v>
      </c>
      <c r="D391" s="7" t="s">
        <v>206</v>
      </c>
      <c r="E391" s="8">
        <v>55.29163333333333</v>
      </c>
      <c r="F391" s="8">
        <v>-132.63048888888889</v>
      </c>
      <c r="G391" s="9" t="s">
        <v>30</v>
      </c>
      <c r="H391" s="3" t="s">
        <v>31</v>
      </c>
      <c r="I391" s="3" t="s">
        <v>31</v>
      </c>
      <c r="J391" s="3" t="s">
        <v>31</v>
      </c>
      <c r="K391" s="7" t="s">
        <v>44</v>
      </c>
      <c r="L391" s="9">
        <v>81</v>
      </c>
      <c r="M391" s="9">
        <v>102</v>
      </c>
      <c r="N391" s="9">
        <f t="shared" si="37"/>
        <v>21</v>
      </c>
      <c r="O391" s="9"/>
      <c r="P391" s="9"/>
      <c r="Q391" s="25"/>
      <c r="R391" s="11">
        <v>2.15</v>
      </c>
      <c r="S391" s="1">
        <v>1.74</v>
      </c>
      <c r="T391" s="1">
        <f t="shared" si="38"/>
        <v>2.15</v>
      </c>
      <c r="U391" s="12">
        <v>18</v>
      </c>
      <c r="V391" s="13">
        <v>3.5530400000000002</v>
      </c>
      <c r="W391" s="14">
        <f t="shared" si="39"/>
        <v>13154.419992000001</v>
      </c>
      <c r="X391" s="25"/>
      <c r="Y391" s="14">
        <f>IF(L391&gt;-100,W391-W391*(ABS(M391)-100)/(ABS(M391)-ABS(L391)),0)</f>
        <v>11901.618088000001</v>
      </c>
      <c r="Z391" s="3"/>
      <c r="AA391" s="3"/>
      <c r="AB391" s="5"/>
      <c r="AC391" s="1"/>
      <c r="AD391" s="28"/>
      <c r="AE391" s="28"/>
      <c r="AF391" s="3"/>
      <c r="AG391" s="7"/>
      <c r="AH391" s="7"/>
      <c r="AI391" s="3" t="s">
        <v>107</v>
      </c>
      <c r="AJ391" s="7" t="s">
        <v>44</v>
      </c>
      <c r="AK391" s="3"/>
      <c r="AL391" cm="1">
        <f t="array" ref="AL391">IF(getColor(V391) = 16777215, 0, 1)</f>
        <v>0</v>
      </c>
    </row>
    <row r="392" spans="1:38">
      <c r="A392" s="1">
        <v>391</v>
      </c>
      <c r="B392" s="3" t="s">
        <v>27</v>
      </c>
      <c r="C392" s="7" t="s">
        <v>245</v>
      </c>
      <c r="D392" s="7" t="s">
        <v>246</v>
      </c>
      <c r="E392" s="8">
        <v>55.29163333333333</v>
      </c>
      <c r="F392" s="8">
        <v>-132.63048888888889</v>
      </c>
      <c r="G392" s="9" t="s">
        <v>30</v>
      </c>
      <c r="H392" s="3" t="s">
        <v>31</v>
      </c>
      <c r="I392" s="3" t="s">
        <v>31</v>
      </c>
      <c r="J392" s="3" t="s">
        <v>31</v>
      </c>
      <c r="K392" s="7" t="s">
        <v>49</v>
      </c>
      <c r="L392" s="9">
        <v>18</v>
      </c>
      <c r="M392" s="9">
        <v>10</v>
      </c>
      <c r="N392" s="9">
        <f t="shared" si="37"/>
        <v>8</v>
      </c>
      <c r="O392" s="29">
        <f>M395</f>
        <v>102</v>
      </c>
      <c r="P392" s="29">
        <f>L392</f>
        <v>18</v>
      </c>
      <c r="Q392" s="29">
        <f>P392+O392</f>
        <v>120</v>
      </c>
      <c r="R392" s="11">
        <v>0</v>
      </c>
      <c r="S392" s="1">
        <v>0.08</v>
      </c>
      <c r="T392" s="1">
        <f t="shared" si="38"/>
        <v>0.08</v>
      </c>
      <c r="U392" s="12">
        <v>0</v>
      </c>
      <c r="V392" s="13">
        <v>31.679828999999998</v>
      </c>
      <c r="W392" s="14">
        <f t="shared" si="39"/>
        <v>2027.5090559999999</v>
      </c>
      <c r="X392" s="14">
        <f>SUM(W392:W395)</f>
        <v>28458.932508179998</v>
      </c>
      <c r="Y392" s="14">
        <f>T392*V392/100*N392*100*100*((100-U392)/100)</f>
        <v>2027.5090559999999</v>
      </c>
      <c r="Z392" s="15">
        <f>SUM(Y392:Y395)/10^6*10^4</f>
        <v>280.63514062979999</v>
      </c>
      <c r="AA392" s="16">
        <v>37.674763148281144</v>
      </c>
      <c r="AB392" s="5"/>
      <c r="AC392" s="1"/>
      <c r="AD392" s="28"/>
      <c r="AE392" s="28"/>
      <c r="AF392" s="3"/>
      <c r="AG392" s="7"/>
      <c r="AH392" s="7"/>
      <c r="AI392" s="3" t="s">
        <v>107</v>
      </c>
      <c r="AJ392" s="7" t="s">
        <v>60</v>
      </c>
      <c r="AK392" s="3"/>
      <c r="AL392" cm="1">
        <f t="array" ref="AL392">IF(getColor(V392) = 16777215, 0, 1)</f>
        <v>0</v>
      </c>
    </row>
    <row r="393" spans="1:38">
      <c r="A393" s="1">
        <v>392</v>
      </c>
      <c r="B393" s="3" t="s">
        <v>27</v>
      </c>
      <c r="C393" s="7" t="s">
        <v>245</v>
      </c>
      <c r="D393" s="7" t="s">
        <v>246</v>
      </c>
      <c r="E393" s="8">
        <v>55.29163333333333</v>
      </c>
      <c r="F393" s="8">
        <v>-132.63048888888889</v>
      </c>
      <c r="G393" s="9" t="s">
        <v>30</v>
      </c>
      <c r="H393" s="3" t="s">
        <v>31</v>
      </c>
      <c r="I393" s="3" t="s">
        <v>31</v>
      </c>
      <c r="J393" s="3" t="s">
        <v>31</v>
      </c>
      <c r="K393" s="7" t="s">
        <v>52</v>
      </c>
      <c r="L393" s="9">
        <v>10</v>
      </c>
      <c r="M393" s="9">
        <v>0</v>
      </c>
      <c r="N393" s="9">
        <f t="shared" si="37"/>
        <v>10</v>
      </c>
      <c r="O393" s="9"/>
      <c r="P393" s="9"/>
      <c r="Q393" s="25"/>
      <c r="R393" s="11">
        <v>0</v>
      </c>
      <c r="S393" s="1">
        <v>0.15</v>
      </c>
      <c r="T393" s="1">
        <f t="shared" si="38"/>
        <v>0.15</v>
      </c>
      <c r="U393" s="12">
        <v>0</v>
      </c>
      <c r="V393" s="13">
        <v>29.255139</v>
      </c>
      <c r="W393" s="14">
        <f t="shared" si="39"/>
        <v>4388.2708499999999</v>
      </c>
      <c r="X393" s="25"/>
      <c r="Y393" s="14">
        <f>T393*V393/100*N393*100*100*((100-U393)/100)</f>
        <v>4388.2708499999999</v>
      </c>
      <c r="Z393" s="3"/>
      <c r="AA393" s="3"/>
      <c r="AB393" s="5"/>
      <c r="AC393" s="5"/>
      <c r="AD393" s="28"/>
      <c r="AE393" s="28"/>
      <c r="AF393" s="3"/>
      <c r="AG393" s="7"/>
      <c r="AH393" s="7"/>
      <c r="AI393" s="3" t="s">
        <v>107</v>
      </c>
      <c r="AJ393" s="7" t="s">
        <v>76</v>
      </c>
      <c r="AK393" s="3"/>
      <c r="AL393" cm="1">
        <f t="array" ref="AL393">IF(getColor(V393) = 16777215, 0, 1)</f>
        <v>0</v>
      </c>
    </row>
    <row r="394" spans="1:38">
      <c r="A394" s="1">
        <v>393</v>
      </c>
      <c r="B394" s="3" t="s">
        <v>27</v>
      </c>
      <c r="C394" s="7" t="s">
        <v>245</v>
      </c>
      <c r="D394" s="7" t="s">
        <v>246</v>
      </c>
      <c r="E394" s="8">
        <v>55.29163333333333</v>
      </c>
      <c r="F394" s="8">
        <v>-132.63048888888889</v>
      </c>
      <c r="G394" s="9" t="s">
        <v>30</v>
      </c>
      <c r="H394" s="3" t="s">
        <v>31</v>
      </c>
      <c r="I394" s="3" t="s">
        <v>31</v>
      </c>
      <c r="J394" s="3" t="s">
        <v>31</v>
      </c>
      <c r="K394" s="7" t="s">
        <v>80</v>
      </c>
      <c r="L394" s="9">
        <v>0</v>
      </c>
      <c r="M394" s="9">
        <v>23</v>
      </c>
      <c r="N394" s="9">
        <f t="shared" si="37"/>
        <v>23</v>
      </c>
      <c r="O394" s="9"/>
      <c r="P394" s="9"/>
      <c r="Q394" s="25"/>
      <c r="R394" s="11">
        <v>0</v>
      </c>
      <c r="S394" s="1">
        <v>1.74</v>
      </c>
      <c r="T394" s="1">
        <f t="shared" si="38"/>
        <v>1.74</v>
      </c>
      <c r="U394" s="12">
        <v>27</v>
      </c>
      <c r="V394" s="13">
        <v>2.1989429999999999</v>
      </c>
      <c r="W394" s="14">
        <f t="shared" si="39"/>
        <v>6424.1240167799997</v>
      </c>
      <c r="X394" s="25"/>
      <c r="Y394" s="14">
        <f>T394*V394/100*N394*100*100*((100-U394)/100)</f>
        <v>6424.1240167799997</v>
      </c>
      <c r="Z394" s="3"/>
      <c r="AA394" s="3"/>
      <c r="AB394" s="5"/>
      <c r="AC394" s="1"/>
      <c r="AD394" s="28"/>
      <c r="AE394" s="28"/>
      <c r="AF394" s="3"/>
      <c r="AG394" s="7"/>
      <c r="AH394" s="7"/>
      <c r="AI394" s="3" t="s">
        <v>107</v>
      </c>
      <c r="AJ394" s="7" t="s">
        <v>80</v>
      </c>
      <c r="AK394" s="3"/>
      <c r="AL394" cm="1">
        <f t="array" ref="AL394">IF(getColor(V394) = 16777215, 0, 1)</f>
        <v>0</v>
      </c>
    </row>
    <row r="395" spans="1:38">
      <c r="A395" s="1">
        <v>394</v>
      </c>
      <c r="B395" s="3" t="s">
        <v>27</v>
      </c>
      <c r="C395" s="7" t="s">
        <v>245</v>
      </c>
      <c r="D395" s="7" t="s">
        <v>246</v>
      </c>
      <c r="E395" s="8">
        <v>55.29163333333333</v>
      </c>
      <c r="F395" s="8">
        <v>-132.63048888888889</v>
      </c>
      <c r="G395" s="9" t="s">
        <v>30</v>
      </c>
      <c r="H395" s="3" t="s">
        <v>31</v>
      </c>
      <c r="I395" s="3" t="s">
        <v>31</v>
      </c>
      <c r="J395" s="3" t="s">
        <v>31</v>
      </c>
      <c r="K395" s="7" t="s">
        <v>81</v>
      </c>
      <c r="L395" s="9">
        <v>23</v>
      </c>
      <c r="M395" s="9">
        <v>102</v>
      </c>
      <c r="N395" s="9">
        <f t="shared" si="37"/>
        <v>79</v>
      </c>
      <c r="O395" s="9"/>
      <c r="P395" s="9"/>
      <c r="Q395" s="25"/>
      <c r="R395" s="11">
        <v>0</v>
      </c>
      <c r="S395" s="1">
        <v>1.74</v>
      </c>
      <c r="T395" s="1">
        <f t="shared" si="38"/>
        <v>1.74</v>
      </c>
      <c r="U395" s="12">
        <v>55</v>
      </c>
      <c r="V395" s="13">
        <v>2.5250219999999999</v>
      </c>
      <c r="W395" s="14">
        <f t="shared" si="39"/>
        <v>15619.028585399999</v>
      </c>
      <c r="X395" s="25"/>
      <c r="Y395" s="14">
        <f>IF(L395&gt;-100,W395-W395*(ABS(M395)-100)/(ABS(M395)-ABS(L395)),0)</f>
        <v>15223.610140199999</v>
      </c>
      <c r="Z395" s="3"/>
      <c r="AA395" s="3"/>
      <c r="AB395" s="5"/>
      <c r="AC395" s="1"/>
      <c r="AD395" s="28"/>
      <c r="AE395" s="28"/>
      <c r="AF395" s="3"/>
      <c r="AG395" s="7"/>
      <c r="AH395" s="7"/>
      <c r="AI395" s="3" t="s">
        <v>107</v>
      </c>
      <c r="AJ395" s="7" t="s">
        <v>81</v>
      </c>
      <c r="AK395" s="3"/>
      <c r="AL395" cm="1">
        <f t="array" ref="AL395">IF(getColor(V395) = 16777215, 0, 1)</f>
        <v>0</v>
      </c>
    </row>
    <row r="396" spans="1:38">
      <c r="A396" s="1">
        <v>395</v>
      </c>
      <c r="B396" s="3" t="s">
        <v>27</v>
      </c>
      <c r="C396" s="7" t="s">
        <v>247</v>
      </c>
      <c r="D396" s="7" t="s">
        <v>156</v>
      </c>
      <c r="E396" s="8">
        <v>55.424933333333335</v>
      </c>
      <c r="F396" s="8">
        <v>-131.76660000000001</v>
      </c>
      <c r="G396" s="9" t="s">
        <v>30</v>
      </c>
      <c r="H396" s="3" t="s">
        <v>31</v>
      </c>
      <c r="I396" s="3" t="s">
        <v>31</v>
      </c>
      <c r="J396" s="3" t="s">
        <v>31</v>
      </c>
      <c r="K396" s="7" t="s">
        <v>49</v>
      </c>
      <c r="L396" s="9">
        <v>10</v>
      </c>
      <c r="M396" s="9">
        <v>6</v>
      </c>
      <c r="N396" s="9">
        <f t="shared" si="37"/>
        <v>4</v>
      </c>
      <c r="O396" s="29">
        <f>M401</f>
        <v>102</v>
      </c>
      <c r="P396" s="29">
        <f>L396</f>
        <v>10</v>
      </c>
      <c r="Q396" s="29">
        <f>P396+O396</f>
        <v>112</v>
      </c>
      <c r="R396" s="11">
        <v>0</v>
      </c>
      <c r="S396" s="1">
        <v>0.08</v>
      </c>
      <c r="T396" s="1">
        <f t="shared" si="38"/>
        <v>0.08</v>
      </c>
      <c r="U396" s="12">
        <v>0</v>
      </c>
      <c r="V396" s="13">
        <v>36.911065000000001</v>
      </c>
      <c r="W396" s="14">
        <f t="shared" si="39"/>
        <v>1181.15408</v>
      </c>
      <c r="X396" s="14">
        <f>SUM(W396:W401)</f>
        <v>36020.414228900001</v>
      </c>
      <c r="Y396" s="14">
        <f t="shared" ref="Y396:Y459" si="40">T396*V396/100*N396*100*100*((100-U396)/100)</f>
        <v>1181.15408</v>
      </c>
      <c r="Z396" s="15">
        <f>SUM(Y396:Y401)/10^6*10^4</f>
        <v>360.20414228900006</v>
      </c>
      <c r="AA396" s="16">
        <v>40.993740129065486</v>
      </c>
      <c r="AB396" s="5"/>
      <c r="AC396" s="1"/>
      <c r="AD396" s="28"/>
      <c r="AE396" s="28"/>
      <c r="AF396" s="3"/>
      <c r="AG396" s="7"/>
      <c r="AH396" s="7"/>
      <c r="AI396" s="3" t="s">
        <v>107</v>
      </c>
      <c r="AJ396" s="7" t="s">
        <v>60</v>
      </c>
      <c r="AK396" s="3"/>
      <c r="AL396" cm="1">
        <f t="array" ref="AL396">IF(getColor(V396) = 16777215, 0, 1)</f>
        <v>0</v>
      </c>
    </row>
    <row r="397" spans="1:38">
      <c r="A397" s="1">
        <v>396</v>
      </c>
      <c r="B397" s="3" t="s">
        <v>27</v>
      </c>
      <c r="C397" s="7" t="s">
        <v>247</v>
      </c>
      <c r="D397" s="7" t="s">
        <v>156</v>
      </c>
      <c r="E397" s="8">
        <v>55.424933333333335</v>
      </c>
      <c r="F397" s="8">
        <v>-131.76660000000001</v>
      </c>
      <c r="G397" s="9" t="s">
        <v>30</v>
      </c>
      <c r="H397" s="3" t="s">
        <v>31</v>
      </c>
      <c r="I397" s="3" t="s">
        <v>31</v>
      </c>
      <c r="J397" s="3" t="s">
        <v>31</v>
      </c>
      <c r="K397" s="7" t="s">
        <v>52</v>
      </c>
      <c r="L397" s="9">
        <v>6</v>
      </c>
      <c r="M397" s="9">
        <v>0</v>
      </c>
      <c r="N397" s="9">
        <f t="shared" si="37"/>
        <v>6</v>
      </c>
      <c r="O397" s="9"/>
      <c r="P397" s="9"/>
      <c r="Q397" s="25"/>
      <c r="R397" s="11">
        <v>0</v>
      </c>
      <c r="S397" s="1">
        <v>0.15</v>
      </c>
      <c r="T397" s="1">
        <f t="shared" si="38"/>
        <v>0.15</v>
      </c>
      <c r="U397" s="12">
        <v>0</v>
      </c>
      <c r="V397" s="13">
        <v>18.653459999999999</v>
      </c>
      <c r="W397" s="14">
        <f t="shared" si="39"/>
        <v>1678.8114</v>
      </c>
      <c r="X397" s="25"/>
      <c r="Y397" s="14">
        <f t="shared" si="40"/>
        <v>1678.8114</v>
      </c>
      <c r="Z397" s="3"/>
      <c r="AA397" s="3"/>
      <c r="AB397" s="5"/>
      <c r="AC397" s="5"/>
      <c r="AD397" s="28"/>
      <c r="AE397" s="28"/>
      <c r="AF397" s="3"/>
      <c r="AG397" s="7"/>
      <c r="AH397" s="7"/>
      <c r="AI397" s="3" t="s">
        <v>107</v>
      </c>
      <c r="AJ397" s="7" t="s">
        <v>76</v>
      </c>
      <c r="AK397" s="3"/>
      <c r="AL397" cm="1">
        <f t="array" ref="AL397">IF(getColor(V397) = 16777215, 0, 1)</f>
        <v>0</v>
      </c>
    </row>
    <row r="398" spans="1:38">
      <c r="A398" s="1">
        <v>397</v>
      </c>
      <c r="B398" s="3" t="s">
        <v>27</v>
      </c>
      <c r="C398" s="7" t="s">
        <v>247</v>
      </c>
      <c r="D398" s="7" t="s">
        <v>156</v>
      </c>
      <c r="E398" s="8">
        <v>55.424933333333335</v>
      </c>
      <c r="F398" s="8">
        <v>-131.76660000000001</v>
      </c>
      <c r="G398" s="9" t="s">
        <v>30</v>
      </c>
      <c r="H398" s="3" t="s">
        <v>31</v>
      </c>
      <c r="I398" s="3" t="s">
        <v>31</v>
      </c>
      <c r="J398" s="3" t="s">
        <v>31</v>
      </c>
      <c r="K398" s="7" t="s">
        <v>68</v>
      </c>
      <c r="L398" s="9">
        <v>0</v>
      </c>
      <c r="M398" s="9">
        <v>5</v>
      </c>
      <c r="N398" s="9">
        <f t="shared" si="37"/>
        <v>5</v>
      </c>
      <c r="O398" s="9"/>
      <c r="P398" s="9"/>
      <c r="Q398" s="25"/>
      <c r="R398" s="11">
        <v>0</v>
      </c>
      <c r="S398" s="1">
        <v>0.86</v>
      </c>
      <c r="T398" s="1">
        <f t="shared" si="38"/>
        <v>0.86</v>
      </c>
      <c r="U398" s="12">
        <v>15</v>
      </c>
      <c r="V398" s="13">
        <v>6.806775</v>
      </c>
      <c r="W398" s="14">
        <f t="shared" si="39"/>
        <v>2487.8762625000004</v>
      </c>
      <c r="X398" s="25"/>
      <c r="Y398" s="14">
        <f t="shared" si="40"/>
        <v>2487.8762625000004</v>
      </c>
      <c r="Z398" s="3"/>
      <c r="AA398" s="3"/>
      <c r="AB398" s="5"/>
      <c r="AC398" s="1"/>
      <c r="AD398" s="28"/>
      <c r="AE398" s="28"/>
      <c r="AF398" s="3"/>
      <c r="AG398" s="7"/>
      <c r="AH398" s="7"/>
      <c r="AI398" s="3" t="s">
        <v>107</v>
      </c>
      <c r="AJ398" s="7" t="s">
        <v>68</v>
      </c>
      <c r="AK398" s="3"/>
      <c r="AL398" cm="1">
        <f t="array" ref="AL398">IF(getColor(V398) = 16777215, 0, 1)</f>
        <v>0</v>
      </c>
    </row>
    <row r="399" spans="1:38">
      <c r="A399" s="1">
        <v>398</v>
      </c>
      <c r="B399" s="3" t="s">
        <v>27</v>
      </c>
      <c r="C399" s="7" t="s">
        <v>247</v>
      </c>
      <c r="D399" s="7" t="s">
        <v>156</v>
      </c>
      <c r="E399" s="8">
        <v>55.424933333333335</v>
      </c>
      <c r="F399" s="8">
        <v>-131.76660000000001</v>
      </c>
      <c r="G399" s="9" t="s">
        <v>30</v>
      </c>
      <c r="H399" s="3" t="s">
        <v>31</v>
      </c>
      <c r="I399" s="3" t="s">
        <v>31</v>
      </c>
      <c r="J399" s="3" t="s">
        <v>31</v>
      </c>
      <c r="K399" s="7" t="s">
        <v>69</v>
      </c>
      <c r="L399" s="9">
        <v>5</v>
      </c>
      <c r="M399" s="9">
        <v>30</v>
      </c>
      <c r="N399" s="9">
        <f t="shared" si="37"/>
        <v>25</v>
      </c>
      <c r="O399" s="9"/>
      <c r="P399" s="9"/>
      <c r="Q399" s="25"/>
      <c r="R399" s="11">
        <v>0</v>
      </c>
      <c r="S399" s="1">
        <v>1.17</v>
      </c>
      <c r="T399" s="1">
        <f t="shared" si="38"/>
        <v>1.17</v>
      </c>
      <c r="U399" s="12">
        <v>53</v>
      </c>
      <c r="V399" s="13">
        <v>11.682549999999999</v>
      </c>
      <c r="W399" s="14">
        <f t="shared" si="39"/>
        <v>16060.585612499995</v>
      </c>
      <c r="X399" s="25"/>
      <c r="Y399" s="14">
        <f t="shared" si="40"/>
        <v>16060.585612499995</v>
      </c>
      <c r="Z399" s="3"/>
      <c r="AA399" s="3"/>
      <c r="AB399" s="5"/>
      <c r="AC399" s="1"/>
      <c r="AD399" s="28"/>
      <c r="AE399" s="28"/>
      <c r="AF399" s="3"/>
      <c r="AG399" s="7"/>
      <c r="AH399" s="7"/>
      <c r="AI399" s="3" t="s">
        <v>107</v>
      </c>
      <c r="AJ399" s="7" t="s">
        <v>70</v>
      </c>
      <c r="AK399" s="3"/>
      <c r="AL399" cm="1">
        <f t="array" ref="AL399">IF(getColor(V399) = 16777215, 0, 1)</f>
        <v>0</v>
      </c>
    </row>
    <row r="400" spans="1:38">
      <c r="A400" s="1">
        <v>399</v>
      </c>
      <c r="B400" s="3" t="s">
        <v>27</v>
      </c>
      <c r="C400" s="7" t="s">
        <v>247</v>
      </c>
      <c r="D400" s="7" t="s">
        <v>156</v>
      </c>
      <c r="E400" s="8">
        <v>55.424933333333335</v>
      </c>
      <c r="F400" s="8">
        <v>-131.76660000000001</v>
      </c>
      <c r="G400" s="9" t="s">
        <v>30</v>
      </c>
      <c r="H400" s="3" t="s">
        <v>31</v>
      </c>
      <c r="I400" s="3" t="s">
        <v>31</v>
      </c>
      <c r="J400" s="3" t="s">
        <v>31</v>
      </c>
      <c r="K400" s="7" t="s">
        <v>71</v>
      </c>
      <c r="L400" s="9">
        <v>30</v>
      </c>
      <c r="M400" s="9">
        <v>76</v>
      </c>
      <c r="N400" s="9">
        <f t="shared" si="37"/>
        <v>46</v>
      </c>
      <c r="O400" s="9"/>
      <c r="P400" s="9"/>
      <c r="Q400" s="25"/>
      <c r="R400" s="11">
        <v>0</v>
      </c>
      <c r="S400" s="1">
        <v>1.17</v>
      </c>
      <c r="T400" s="1">
        <f t="shared" si="38"/>
        <v>1.17</v>
      </c>
      <c r="U400" s="12">
        <v>69</v>
      </c>
      <c r="V400" s="13">
        <v>3.5240749999999998</v>
      </c>
      <c r="W400" s="14">
        <f t="shared" si="39"/>
        <v>5879.6372114999995</v>
      </c>
      <c r="X400" s="25"/>
      <c r="Y400" s="14">
        <f t="shared" si="40"/>
        <v>5879.6372114999995</v>
      </c>
      <c r="Z400" s="3"/>
      <c r="AA400" s="3"/>
      <c r="AB400" s="5"/>
      <c r="AC400" s="1"/>
      <c r="AD400" s="28"/>
      <c r="AE400" s="28"/>
      <c r="AF400" s="3"/>
      <c r="AG400" s="7"/>
      <c r="AH400" s="7"/>
      <c r="AI400" s="3" t="s">
        <v>107</v>
      </c>
      <c r="AJ400" s="7" t="s">
        <v>72</v>
      </c>
      <c r="AK400" s="3"/>
      <c r="AL400" cm="1">
        <f t="array" ref="AL400">IF(getColor(V400) = 16777215, 0, 1)</f>
        <v>0</v>
      </c>
    </row>
    <row r="401" spans="1:38">
      <c r="A401" s="1">
        <v>400</v>
      </c>
      <c r="B401" s="3" t="s">
        <v>27</v>
      </c>
      <c r="C401" s="7" t="s">
        <v>247</v>
      </c>
      <c r="D401" s="7" t="s">
        <v>156</v>
      </c>
      <c r="E401" s="8">
        <v>55.424933333333335</v>
      </c>
      <c r="F401" s="8">
        <v>-131.76660000000001</v>
      </c>
      <c r="G401" s="9" t="s">
        <v>30</v>
      </c>
      <c r="H401" s="3" t="s">
        <v>31</v>
      </c>
      <c r="I401" s="3" t="s">
        <v>31</v>
      </c>
      <c r="J401" s="3" t="s">
        <v>31</v>
      </c>
      <c r="K401" s="7" t="s">
        <v>44</v>
      </c>
      <c r="L401" s="9">
        <v>76</v>
      </c>
      <c r="M401" s="9">
        <v>102</v>
      </c>
      <c r="N401" s="9">
        <f t="shared" si="37"/>
        <v>26</v>
      </c>
      <c r="O401" s="9"/>
      <c r="P401" s="9"/>
      <c r="Q401" s="25"/>
      <c r="R401" s="11">
        <v>0</v>
      </c>
      <c r="S401" s="1">
        <v>1.74</v>
      </c>
      <c r="T401" s="1">
        <f t="shared" si="38"/>
        <v>1.74</v>
      </c>
      <c r="U401" s="12">
        <v>44</v>
      </c>
      <c r="V401" s="13">
        <v>3.4468350000000001</v>
      </c>
      <c r="W401" s="14">
        <f t="shared" si="39"/>
        <v>8732.3496623999999</v>
      </c>
      <c r="X401" s="25"/>
      <c r="Y401" s="14">
        <f t="shared" si="40"/>
        <v>8732.3496623999999</v>
      </c>
      <c r="Z401" s="3"/>
      <c r="AA401" s="3"/>
      <c r="AB401" s="5"/>
      <c r="AC401" s="1"/>
      <c r="AD401" s="28"/>
      <c r="AE401" s="28"/>
      <c r="AF401" s="3"/>
      <c r="AG401" s="7"/>
      <c r="AH401" s="7"/>
      <c r="AI401" s="3" t="s">
        <v>107</v>
      </c>
      <c r="AJ401" s="7" t="s">
        <v>44</v>
      </c>
      <c r="AK401" s="3"/>
      <c r="AL401" cm="1">
        <f t="array" ref="AL401">IF(getColor(V401) = 16777215, 0, 1)</f>
        <v>0</v>
      </c>
    </row>
    <row r="402" spans="1:38">
      <c r="A402" s="1">
        <v>401</v>
      </c>
      <c r="B402" s="3" t="s">
        <v>27</v>
      </c>
      <c r="C402" s="7" t="s">
        <v>248</v>
      </c>
      <c r="D402" s="7" t="s">
        <v>206</v>
      </c>
      <c r="E402" s="8">
        <v>55.436077777777783</v>
      </c>
      <c r="F402" s="8">
        <v>-132.50833333333333</v>
      </c>
      <c r="G402" s="9" t="s">
        <v>30</v>
      </c>
      <c r="H402" s="3" t="s">
        <v>31</v>
      </c>
      <c r="I402" s="3" t="s">
        <v>31</v>
      </c>
      <c r="J402" s="3" t="s">
        <v>31</v>
      </c>
      <c r="K402" s="7" t="s">
        <v>49</v>
      </c>
      <c r="L402" s="9">
        <v>35</v>
      </c>
      <c r="M402" s="9">
        <v>21</v>
      </c>
      <c r="N402" s="9">
        <f t="shared" si="37"/>
        <v>14</v>
      </c>
      <c r="O402" s="29">
        <f>M408</f>
        <v>100</v>
      </c>
      <c r="P402" s="29">
        <f>L402</f>
        <v>35</v>
      </c>
      <c r="Q402" s="29">
        <f>P402+O402</f>
        <v>135</v>
      </c>
      <c r="R402" s="11">
        <v>0</v>
      </c>
      <c r="S402" s="1">
        <v>0.08</v>
      </c>
      <c r="T402" s="1">
        <f t="shared" si="38"/>
        <v>0.08</v>
      </c>
      <c r="U402" s="12">
        <v>0</v>
      </c>
      <c r="V402" s="31">
        <v>36.66627891666667</v>
      </c>
      <c r="W402" s="14">
        <f t="shared" si="39"/>
        <v>4106.6232386666679</v>
      </c>
      <c r="X402" s="14">
        <f>SUM(W402:W408)</f>
        <v>53171.037116477186</v>
      </c>
      <c r="Y402" s="14">
        <f t="shared" si="40"/>
        <v>4106.6232386666679</v>
      </c>
      <c r="Z402" s="15">
        <f>SUM(Y402:Y408)/10^6*10^4</f>
        <v>531.71037116477191</v>
      </c>
      <c r="AA402" s="16">
        <v>110.76176658497722</v>
      </c>
      <c r="AB402" s="5"/>
      <c r="AC402" s="1"/>
      <c r="AD402" s="28"/>
      <c r="AE402" s="28"/>
      <c r="AF402" s="3"/>
      <c r="AG402" s="7"/>
      <c r="AH402" s="7"/>
      <c r="AI402" s="3" t="s">
        <v>107</v>
      </c>
      <c r="AJ402" s="7" t="s">
        <v>60</v>
      </c>
      <c r="AK402" s="3"/>
      <c r="AL402" cm="1">
        <f t="array" ref="AL402">IF(getColor(V402) = 16777215, 0, 1)</f>
        <v>1</v>
      </c>
    </row>
    <row r="403" spans="1:38">
      <c r="A403" s="1">
        <v>402</v>
      </c>
      <c r="B403" s="3" t="s">
        <v>27</v>
      </c>
      <c r="C403" s="7" t="s">
        <v>248</v>
      </c>
      <c r="D403" s="7" t="s">
        <v>206</v>
      </c>
      <c r="E403" s="8">
        <v>55.436077777777783</v>
      </c>
      <c r="F403" s="8">
        <v>-132.50833333333333</v>
      </c>
      <c r="G403" s="9" t="s">
        <v>30</v>
      </c>
      <c r="H403" s="3" t="s">
        <v>31</v>
      </c>
      <c r="I403" s="3" t="s">
        <v>31</v>
      </c>
      <c r="J403" s="3" t="s">
        <v>31</v>
      </c>
      <c r="K403" s="7" t="s">
        <v>51</v>
      </c>
      <c r="L403" s="9">
        <v>21</v>
      </c>
      <c r="M403" s="9">
        <v>0</v>
      </c>
      <c r="N403" s="9">
        <f t="shared" si="37"/>
        <v>21</v>
      </c>
      <c r="O403" s="9"/>
      <c r="P403" s="9"/>
      <c r="Q403" s="25"/>
      <c r="R403" s="11">
        <v>0</v>
      </c>
      <c r="S403" s="1">
        <v>0.12</v>
      </c>
      <c r="T403" s="1">
        <f t="shared" si="38"/>
        <v>0.12</v>
      </c>
      <c r="U403" s="12">
        <v>0</v>
      </c>
      <c r="V403" s="31">
        <v>40.639330342105275</v>
      </c>
      <c r="W403" s="14">
        <f t="shared" si="39"/>
        <v>10241.111246210528</v>
      </c>
      <c r="X403" s="25"/>
      <c r="Y403" s="14">
        <f t="shared" si="40"/>
        <v>10241.111246210528</v>
      </c>
      <c r="Z403" s="3"/>
      <c r="AA403" s="3"/>
      <c r="AB403" s="5"/>
      <c r="AC403" s="5"/>
      <c r="AD403" s="32"/>
      <c r="AE403" s="28"/>
      <c r="AF403" s="3"/>
      <c r="AG403" s="7"/>
      <c r="AH403" s="7"/>
      <c r="AI403" s="3" t="s">
        <v>107</v>
      </c>
      <c r="AJ403" s="7" t="s">
        <v>67</v>
      </c>
      <c r="AK403" s="3"/>
      <c r="AL403" cm="1">
        <f t="array" ref="AL403">IF(getColor(V403) = 16777215, 0, 1)</f>
        <v>1</v>
      </c>
    </row>
    <row r="404" spans="1:38">
      <c r="A404" s="1">
        <v>403</v>
      </c>
      <c r="B404" s="3" t="s">
        <v>27</v>
      </c>
      <c r="C404" s="7" t="s">
        <v>248</v>
      </c>
      <c r="D404" s="7" t="s">
        <v>206</v>
      </c>
      <c r="E404" s="8">
        <v>55.436077777777783</v>
      </c>
      <c r="F404" s="8">
        <v>-132.50833333333333</v>
      </c>
      <c r="G404" s="9" t="s">
        <v>30</v>
      </c>
      <c r="H404" s="3" t="s">
        <v>31</v>
      </c>
      <c r="I404" s="3" t="s">
        <v>31</v>
      </c>
      <c r="J404" s="3" t="s">
        <v>31</v>
      </c>
      <c r="K404" s="7" t="s">
        <v>47</v>
      </c>
      <c r="L404" s="9">
        <v>0</v>
      </c>
      <c r="M404" s="9">
        <v>3</v>
      </c>
      <c r="N404" s="9">
        <f t="shared" si="37"/>
        <v>3</v>
      </c>
      <c r="O404" s="9"/>
      <c r="P404" s="9"/>
      <c r="Q404" s="25"/>
      <c r="R404" s="11">
        <v>0</v>
      </c>
      <c r="S404" s="1">
        <v>0.93</v>
      </c>
      <c r="T404" s="1">
        <f t="shared" si="38"/>
        <v>0.93</v>
      </c>
      <c r="U404" s="12">
        <v>6</v>
      </c>
      <c r="V404" s="13">
        <v>1.8054850000000002</v>
      </c>
      <c r="W404" s="14">
        <f t="shared" si="39"/>
        <v>473.50649610000005</v>
      </c>
      <c r="X404" s="25"/>
      <c r="Y404" s="14">
        <f t="shared" si="40"/>
        <v>473.50649610000005</v>
      </c>
      <c r="Z404" s="3"/>
      <c r="AA404" s="3"/>
      <c r="AB404" s="5"/>
      <c r="AC404" s="1"/>
      <c r="AD404" s="32"/>
      <c r="AE404" s="28"/>
      <c r="AF404" s="3"/>
      <c r="AG404" s="7"/>
      <c r="AH404" s="7"/>
      <c r="AI404" s="3" t="s">
        <v>107</v>
      </c>
      <c r="AJ404" s="7" t="s">
        <v>47</v>
      </c>
      <c r="AK404" s="3"/>
      <c r="AL404" cm="1">
        <f t="array" ref="AL404">IF(getColor(V404) = 16777215, 0, 1)</f>
        <v>0</v>
      </c>
    </row>
    <row r="405" spans="1:38">
      <c r="A405" s="1">
        <v>404</v>
      </c>
      <c r="B405" s="3" t="s">
        <v>27</v>
      </c>
      <c r="C405" s="7" t="s">
        <v>248</v>
      </c>
      <c r="D405" s="7" t="s">
        <v>206</v>
      </c>
      <c r="E405" s="8">
        <v>55.436077777777783</v>
      </c>
      <c r="F405" s="8">
        <v>-132.50833333333333</v>
      </c>
      <c r="G405" s="9" t="s">
        <v>30</v>
      </c>
      <c r="H405" s="3" t="s">
        <v>31</v>
      </c>
      <c r="I405" s="3" t="s">
        <v>31</v>
      </c>
      <c r="J405" s="3" t="s">
        <v>31</v>
      </c>
      <c r="K405" s="7" t="s">
        <v>68</v>
      </c>
      <c r="L405" s="9">
        <v>3</v>
      </c>
      <c r="M405" s="9">
        <v>6</v>
      </c>
      <c r="N405" s="9">
        <f t="shared" si="37"/>
        <v>3</v>
      </c>
      <c r="O405" s="9"/>
      <c r="P405" s="9"/>
      <c r="Q405" s="25"/>
      <c r="R405" s="11">
        <v>0</v>
      </c>
      <c r="S405" s="1">
        <v>0.86</v>
      </c>
      <c r="T405" s="1">
        <f t="shared" si="38"/>
        <v>0.86</v>
      </c>
      <c r="U405" s="12">
        <v>15</v>
      </c>
      <c r="V405" s="13">
        <v>6.1695450000000003</v>
      </c>
      <c r="W405" s="14">
        <f t="shared" si="39"/>
        <v>1352.9812185000001</v>
      </c>
      <c r="X405" s="25"/>
      <c r="Y405" s="14">
        <f t="shared" si="40"/>
        <v>1352.9812185000001</v>
      </c>
      <c r="Z405" s="3"/>
      <c r="AA405" s="3"/>
      <c r="AB405" s="5"/>
      <c r="AC405" s="1"/>
      <c r="AD405" s="28"/>
      <c r="AE405" s="28"/>
      <c r="AF405" s="3"/>
      <c r="AG405" s="7"/>
      <c r="AH405" s="7"/>
      <c r="AI405" s="3" t="s">
        <v>107</v>
      </c>
      <c r="AJ405" s="7" t="s">
        <v>68</v>
      </c>
      <c r="AK405" s="3"/>
      <c r="AL405" cm="1">
        <f t="array" ref="AL405">IF(getColor(V405) = 16777215, 0, 1)</f>
        <v>0</v>
      </c>
    </row>
    <row r="406" spans="1:38">
      <c r="A406" s="1">
        <v>405</v>
      </c>
      <c r="B406" s="3" t="s">
        <v>27</v>
      </c>
      <c r="C406" s="7" t="s">
        <v>248</v>
      </c>
      <c r="D406" s="7" t="s">
        <v>206</v>
      </c>
      <c r="E406" s="8">
        <v>55.436077777777783</v>
      </c>
      <c r="F406" s="8">
        <v>-132.50833333333333</v>
      </c>
      <c r="G406" s="9" t="s">
        <v>30</v>
      </c>
      <c r="H406" s="3" t="s">
        <v>31</v>
      </c>
      <c r="I406" s="3" t="s">
        <v>31</v>
      </c>
      <c r="J406" s="3" t="s">
        <v>31</v>
      </c>
      <c r="K406" s="7" t="s">
        <v>41</v>
      </c>
      <c r="L406" s="9">
        <v>6</v>
      </c>
      <c r="M406" s="9">
        <v>28</v>
      </c>
      <c r="N406" s="9">
        <f t="shared" si="37"/>
        <v>22</v>
      </c>
      <c r="O406" s="9"/>
      <c r="P406" s="9"/>
      <c r="Q406" s="25"/>
      <c r="R406" s="11">
        <v>0</v>
      </c>
      <c r="S406" s="1">
        <v>1.17</v>
      </c>
      <c r="T406" s="1">
        <f t="shared" si="38"/>
        <v>1.17</v>
      </c>
      <c r="U406" s="12">
        <v>9</v>
      </c>
      <c r="V406" s="13">
        <v>5.5419700000000001</v>
      </c>
      <c r="W406" s="14">
        <f t="shared" si="39"/>
        <v>12981.178009799998</v>
      </c>
      <c r="X406" s="25"/>
      <c r="Y406" s="14">
        <f t="shared" si="40"/>
        <v>12981.178009799998</v>
      </c>
      <c r="Z406" s="3"/>
      <c r="AA406" s="3"/>
      <c r="AB406" s="5"/>
      <c r="AC406" s="1"/>
      <c r="AD406" s="28"/>
      <c r="AE406" s="28"/>
      <c r="AF406" s="3"/>
      <c r="AG406" s="7"/>
      <c r="AH406" s="7"/>
      <c r="AI406" s="3" t="s">
        <v>107</v>
      </c>
      <c r="AJ406" s="7" t="s">
        <v>61</v>
      </c>
      <c r="AK406" s="3"/>
      <c r="AL406" cm="1">
        <f t="array" ref="AL406">IF(getColor(V406) = 16777215, 0, 1)</f>
        <v>0</v>
      </c>
    </row>
    <row r="407" spans="1:38">
      <c r="A407" s="1">
        <v>406</v>
      </c>
      <c r="B407" s="3" t="s">
        <v>27</v>
      </c>
      <c r="C407" s="7" t="s">
        <v>248</v>
      </c>
      <c r="D407" s="7" t="s">
        <v>206</v>
      </c>
      <c r="E407" s="8">
        <v>55.436077777777783</v>
      </c>
      <c r="F407" s="8">
        <v>-132.50833333333333</v>
      </c>
      <c r="G407" s="9" t="s">
        <v>30</v>
      </c>
      <c r="H407" s="3" t="s">
        <v>31</v>
      </c>
      <c r="I407" s="3" t="s">
        <v>31</v>
      </c>
      <c r="J407" s="3" t="s">
        <v>31</v>
      </c>
      <c r="K407" s="7" t="s">
        <v>249</v>
      </c>
      <c r="L407" s="9">
        <v>28</v>
      </c>
      <c r="M407" s="9">
        <v>64</v>
      </c>
      <c r="N407" s="9">
        <f t="shared" si="37"/>
        <v>36</v>
      </c>
      <c r="O407" s="9"/>
      <c r="P407" s="9"/>
      <c r="Q407" s="25"/>
      <c r="R407" s="11">
        <v>0</v>
      </c>
      <c r="S407" s="1">
        <v>1.71</v>
      </c>
      <c r="T407" s="1">
        <f t="shared" si="38"/>
        <v>1.71</v>
      </c>
      <c r="U407" s="12">
        <v>24</v>
      </c>
      <c r="V407" s="13">
        <v>3.2633899999999998</v>
      </c>
      <c r="W407" s="14">
        <f t="shared" si="39"/>
        <v>15267.965918399997</v>
      </c>
      <c r="X407" s="25"/>
      <c r="Y407" s="14">
        <f t="shared" si="40"/>
        <v>15267.965918399997</v>
      </c>
      <c r="Z407" s="3"/>
      <c r="AA407" s="3"/>
      <c r="AB407" s="5"/>
      <c r="AC407" s="1"/>
      <c r="AD407" s="28"/>
      <c r="AE407" s="28"/>
      <c r="AF407" s="3"/>
      <c r="AG407" s="7"/>
      <c r="AH407" s="7"/>
      <c r="AI407" s="3" t="s">
        <v>107</v>
      </c>
      <c r="AJ407" s="7" t="s">
        <v>249</v>
      </c>
      <c r="AK407" s="3"/>
      <c r="AL407" cm="1">
        <f t="array" ref="AL407">IF(getColor(V407) = 16777215, 0, 1)</f>
        <v>0</v>
      </c>
    </row>
    <row r="408" spans="1:38">
      <c r="A408" s="1">
        <v>407</v>
      </c>
      <c r="B408" s="3" t="s">
        <v>27</v>
      </c>
      <c r="C408" s="7" t="s">
        <v>248</v>
      </c>
      <c r="D408" s="7" t="s">
        <v>206</v>
      </c>
      <c r="E408" s="8">
        <v>55.436077777777783</v>
      </c>
      <c r="F408" s="8">
        <v>-132.50833333333333</v>
      </c>
      <c r="G408" s="9" t="s">
        <v>30</v>
      </c>
      <c r="H408" s="3" t="s">
        <v>31</v>
      </c>
      <c r="I408" s="3" t="s">
        <v>31</v>
      </c>
      <c r="J408" s="3" t="s">
        <v>31</v>
      </c>
      <c r="K408" s="7" t="s">
        <v>44</v>
      </c>
      <c r="L408" s="9">
        <v>64</v>
      </c>
      <c r="M408" s="9">
        <v>100</v>
      </c>
      <c r="N408" s="9">
        <f t="shared" si="37"/>
        <v>36</v>
      </c>
      <c r="O408" s="9"/>
      <c r="P408" s="9"/>
      <c r="Q408" s="25"/>
      <c r="R408" s="11">
        <v>0</v>
      </c>
      <c r="S408" s="1">
        <v>1.74</v>
      </c>
      <c r="T408" s="1">
        <f t="shared" si="38"/>
        <v>1.74</v>
      </c>
      <c r="U408" s="12">
        <v>36</v>
      </c>
      <c r="V408" s="13">
        <v>2.1820299999999997</v>
      </c>
      <c r="W408" s="14">
        <f t="shared" si="39"/>
        <v>8747.6709887999968</v>
      </c>
      <c r="X408" s="25"/>
      <c r="Y408" s="14">
        <f t="shared" si="40"/>
        <v>8747.6709887999968</v>
      </c>
      <c r="Z408" s="3"/>
      <c r="AA408" s="3"/>
      <c r="AB408" s="5"/>
      <c r="AC408" s="1"/>
      <c r="AD408" s="28"/>
      <c r="AE408" s="28"/>
      <c r="AF408" s="3"/>
      <c r="AG408" s="7"/>
      <c r="AH408" s="7"/>
      <c r="AI408" s="3" t="s">
        <v>107</v>
      </c>
      <c r="AJ408" s="7" t="s">
        <v>44</v>
      </c>
      <c r="AK408" s="3"/>
      <c r="AL408" cm="1">
        <f t="array" ref="AL408">IF(getColor(V408) = 16777215, 0, 1)</f>
        <v>0</v>
      </c>
    </row>
    <row r="409" spans="1:38">
      <c r="A409" s="1">
        <v>408</v>
      </c>
      <c r="B409" s="3" t="s">
        <v>27</v>
      </c>
      <c r="C409" s="7" t="s">
        <v>250</v>
      </c>
      <c r="D409" s="7" t="s">
        <v>156</v>
      </c>
      <c r="E409" s="8">
        <v>55.441633333333336</v>
      </c>
      <c r="F409" s="8">
        <v>-132.4958</v>
      </c>
      <c r="G409" s="9" t="s">
        <v>30</v>
      </c>
      <c r="H409" s="3" t="s">
        <v>31</v>
      </c>
      <c r="I409" s="3" t="s">
        <v>31</v>
      </c>
      <c r="J409" s="3" t="s">
        <v>31</v>
      </c>
      <c r="K409" s="7" t="s">
        <v>49</v>
      </c>
      <c r="L409" s="9">
        <v>23</v>
      </c>
      <c r="M409" s="9">
        <v>13</v>
      </c>
      <c r="N409" s="9">
        <f t="shared" si="37"/>
        <v>10</v>
      </c>
      <c r="O409" s="29">
        <f>M414</f>
        <v>66</v>
      </c>
      <c r="P409" s="29">
        <f>L409</f>
        <v>23</v>
      </c>
      <c r="Q409" s="29">
        <f>P409+O409</f>
        <v>89</v>
      </c>
      <c r="R409" s="11">
        <v>0</v>
      </c>
      <c r="S409" s="1">
        <v>0.08</v>
      </c>
      <c r="T409" s="1">
        <f t="shared" si="38"/>
        <v>0.08</v>
      </c>
      <c r="U409" s="12">
        <v>0</v>
      </c>
      <c r="V409" s="31">
        <v>36.66627891666667</v>
      </c>
      <c r="W409" s="14">
        <f t="shared" si="39"/>
        <v>2933.3023133333336</v>
      </c>
      <c r="X409" s="14">
        <f>SUM(W409:W414)</f>
        <v>21266.663160651759</v>
      </c>
      <c r="Y409" s="14">
        <f t="shared" si="40"/>
        <v>2933.3023133333336</v>
      </c>
      <c r="Z409" s="15">
        <f>SUM(Y409:Y414)/10^6*10^4</f>
        <v>212.66663160651757</v>
      </c>
      <c r="AA409" s="16">
        <v>69.443218081956886</v>
      </c>
      <c r="AB409" s="5"/>
      <c r="AC409" s="1"/>
      <c r="AD409" s="28"/>
      <c r="AE409" s="28"/>
      <c r="AF409" s="3"/>
      <c r="AG409" s="7"/>
      <c r="AH409" s="7"/>
      <c r="AI409" s="3" t="s">
        <v>107</v>
      </c>
      <c r="AJ409" s="7" t="s">
        <v>60</v>
      </c>
      <c r="AK409" s="3"/>
      <c r="AL409" cm="1">
        <f t="array" ref="AL409">IF(getColor(V409) = 16777215, 0, 1)</f>
        <v>1</v>
      </c>
    </row>
    <row r="410" spans="1:38">
      <c r="A410" s="1">
        <v>409</v>
      </c>
      <c r="B410" s="3" t="s">
        <v>27</v>
      </c>
      <c r="C410" s="7" t="s">
        <v>250</v>
      </c>
      <c r="D410" s="7" t="s">
        <v>156</v>
      </c>
      <c r="E410" s="8">
        <v>55.441633333333336</v>
      </c>
      <c r="F410" s="8">
        <v>-132.4958</v>
      </c>
      <c r="G410" s="9" t="s">
        <v>30</v>
      </c>
      <c r="H410" s="3" t="s">
        <v>31</v>
      </c>
      <c r="I410" s="3" t="s">
        <v>31</v>
      </c>
      <c r="J410" s="3" t="s">
        <v>31</v>
      </c>
      <c r="K410" s="7" t="s">
        <v>51</v>
      </c>
      <c r="L410" s="9">
        <v>13</v>
      </c>
      <c r="M410" s="9">
        <v>0</v>
      </c>
      <c r="N410" s="9">
        <f t="shared" si="37"/>
        <v>13</v>
      </c>
      <c r="O410" s="9"/>
      <c r="P410" s="9"/>
      <c r="Q410" s="25"/>
      <c r="R410" s="11">
        <v>0</v>
      </c>
      <c r="S410" s="1">
        <v>0.12</v>
      </c>
      <c r="T410" s="1">
        <f t="shared" si="38"/>
        <v>0.12</v>
      </c>
      <c r="U410" s="12">
        <v>0</v>
      </c>
      <c r="V410" s="31">
        <v>40.639330342105275</v>
      </c>
      <c r="W410" s="14">
        <f t="shared" si="39"/>
        <v>6339.7355333684227</v>
      </c>
      <c r="X410" s="25"/>
      <c r="Y410" s="14">
        <f t="shared" si="40"/>
        <v>6339.7355333684227</v>
      </c>
      <c r="Z410" s="3"/>
      <c r="AA410" s="3"/>
      <c r="AB410" s="5"/>
      <c r="AC410" s="5"/>
      <c r="AD410" s="32"/>
      <c r="AE410" s="28"/>
      <c r="AF410" s="3"/>
      <c r="AG410" s="7"/>
      <c r="AH410" s="7"/>
      <c r="AI410" s="3" t="s">
        <v>107</v>
      </c>
      <c r="AJ410" s="7" t="s">
        <v>67</v>
      </c>
      <c r="AK410" s="3"/>
      <c r="AL410" cm="1">
        <f t="array" ref="AL410">IF(getColor(V410) = 16777215, 0, 1)</f>
        <v>1</v>
      </c>
    </row>
    <row r="411" spans="1:38">
      <c r="A411" s="1">
        <v>410</v>
      </c>
      <c r="B411" s="3" t="s">
        <v>27</v>
      </c>
      <c r="C411" s="7" t="s">
        <v>250</v>
      </c>
      <c r="D411" s="7" t="s">
        <v>156</v>
      </c>
      <c r="E411" s="8">
        <v>55.441633333333336</v>
      </c>
      <c r="F411" s="8">
        <v>-132.4958</v>
      </c>
      <c r="G411" s="9" t="s">
        <v>30</v>
      </c>
      <c r="H411" s="3" t="s">
        <v>31</v>
      </c>
      <c r="I411" s="3" t="s">
        <v>31</v>
      </c>
      <c r="J411" s="3" t="s">
        <v>31</v>
      </c>
      <c r="K411" s="7" t="s">
        <v>47</v>
      </c>
      <c r="L411" s="9">
        <v>0</v>
      </c>
      <c r="M411" s="9">
        <v>5</v>
      </c>
      <c r="N411" s="9">
        <f t="shared" si="37"/>
        <v>5</v>
      </c>
      <c r="O411" s="9"/>
      <c r="P411" s="9"/>
      <c r="Q411" s="25"/>
      <c r="R411" s="11">
        <v>0</v>
      </c>
      <c r="S411" s="1">
        <v>0.93</v>
      </c>
      <c r="T411" s="1">
        <f t="shared" si="38"/>
        <v>0.93</v>
      </c>
      <c r="U411" s="12">
        <v>8</v>
      </c>
      <c r="V411" s="13">
        <v>2.7227099999999997</v>
      </c>
      <c r="W411" s="14">
        <f t="shared" si="39"/>
        <v>1164.7753380000004</v>
      </c>
      <c r="X411" s="25"/>
      <c r="Y411" s="14">
        <f t="shared" si="40"/>
        <v>1164.7753380000004</v>
      </c>
      <c r="Z411" s="3"/>
      <c r="AA411" s="3"/>
      <c r="AB411" s="5"/>
      <c r="AC411" s="1"/>
      <c r="AD411" s="32"/>
      <c r="AE411" s="28"/>
      <c r="AF411" s="3"/>
      <c r="AG411" s="7"/>
      <c r="AH411" s="7"/>
      <c r="AI411" s="3" t="s">
        <v>107</v>
      </c>
      <c r="AJ411" s="7" t="s">
        <v>47</v>
      </c>
      <c r="AK411" s="3"/>
      <c r="AL411" cm="1">
        <f t="array" ref="AL411">IF(getColor(V411) = 16777215, 0, 1)</f>
        <v>0</v>
      </c>
    </row>
    <row r="412" spans="1:38">
      <c r="A412" s="1">
        <v>411</v>
      </c>
      <c r="B412" s="3" t="s">
        <v>27</v>
      </c>
      <c r="C412" s="7" t="s">
        <v>250</v>
      </c>
      <c r="D412" s="7" t="s">
        <v>156</v>
      </c>
      <c r="E412" s="8">
        <v>55.441633333333336</v>
      </c>
      <c r="F412" s="8">
        <v>-132.4958</v>
      </c>
      <c r="G412" s="9" t="s">
        <v>30</v>
      </c>
      <c r="H412" s="3" t="s">
        <v>31</v>
      </c>
      <c r="I412" s="3" t="s">
        <v>31</v>
      </c>
      <c r="J412" s="3" t="s">
        <v>31</v>
      </c>
      <c r="K412" s="7" t="s">
        <v>77</v>
      </c>
      <c r="L412" s="9">
        <v>5</v>
      </c>
      <c r="M412" s="9">
        <v>23</v>
      </c>
      <c r="N412" s="9">
        <f t="shared" si="37"/>
        <v>18</v>
      </c>
      <c r="O412" s="9"/>
      <c r="P412" s="9"/>
      <c r="Q412" s="25"/>
      <c r="R412" s="11">
        <v>0</v>
      </c>
      <c r="S412" s="1">
        <v>0.86</v>
      </c>
      <c r="T412" s="1">
        <f t="shared" si="38"/>
        <v>0.86</v>
      </c>
      <c r="U412" s="12">
        <v>26</v>
      </c>
      <c r="V412" s="13">
        <v>5.6674850000000001</v>
      </c>
      <c r="W412" s="14">
        <f t="shared" si="39"/>
        <v>6492.2174171999995</v>
      </c>
      <c r="X412" s="25"/>
      <c r="Y412" s="14">
        <f t="shared" si="40"/>
        <v>6492.2174171999995</v>
      </c>
      <c r="Z412" s="3"/>
      <c r="AA412" s="3"/>
      <c r="AB412" s="5"/>
      <c r="AC412" s="1"/>
      <c r="AD412" s="28"/>
      <c r="AE412" s="28"/>
      <c r="AF412" s="3"/>
      <c r="AG412" s="7"/>
      <c r="AH412" s="7"/>
      <c r="AI412" s="3" t="s">
        <v>107</v>
      </c>
      <c r="AJ412" s="7" t="s">
        <v>78</v>
      </c>
      <c r="AK412" s="3"/>
      <c r="AL412" cm="1">
        <f t="array" ref="AL412">IF(getColor(V412) = 16777215, 0, 1)</f>
        <v>0</v>
      </c>
    </row>
    <row r="413" spans="1:38">
      <c r="A413" s="1">
        <v>412</v>
      </c>
      <c r="B413" s="3" t="s">
        <v>27</v>
      </c>
      <c r="C413" s="7" t="s">
        <v>250</v>
      </c>
      <c r="D413" s="7" t="s">
        <v>156</v>
      </c>
      <c r="E413" s="8">
        <v>55.441633333333336</v>
      </c>
      <c r="F413" s="8">
        <v>-132.4958</v>
      </c>
      <c r="G413" s="9" t="s">
        <v>30</v>
      </c>
      <c r="H413" s="3" t="s">
        <v>31</v>
      </c>
      <c r="I413" s="3" t="s">
        <v>31</v>
      </c>
      <c r="J413" s="3" t="s">
        <v>31</v>
      </c>
      <c r="K413" s="7" t="s">
        <v>79</v>
      </c>
      <c r="L413" s="9">
        <v>23</v>
      </c>
      <c r="M413" s="9">
        <v>46</v>
      </c>
      <c r="N413" s="9">
        <f t="shared" si="37"/>
        <v>23</v>
      </c>
      <c r="O413" s="9"/>
      <c r="P413" s="9"/>
      <c r="Q413" s="25"/>
      <c r="R413" s="11">
        <v>0</v>
      </c>
      <c r="S413" s="1">
        <v>1.71</v>
      </c>
      <c r="T413" s="1">
        <f t="shared" si="38"/>
        <v>1.71</v>
      </c>
      <c r="U413" s="12">
        <v>35</v>
      </c>
      <c r="V413" s="13">
        <v>1.399975</v>
      </c>
      <c r="W413" s="14">
        <f t="shared" si="39"/>
        <v>3578.9660887499995</v>
      </c>
      <c r="X413" s="25"/>
      <c r="Y413" s="14">
        <f t="shared" si="40"/>
        <v>3578.9660887499995</v>
      </c>
      <c r="Z413" s="3"/>
      <c r="AA413" s="3"/>
      <c r="AB413" s="5"/>
      <c r="AC413" s="1"/>
      <c r="AD413" s="28"/>
      <c r="AE413" s="28"/>
      <c r="AF413" s="3"/>
      <c r="AG413" s="7"/>
      <c r="AH413" s="7"/>
      <c r="AI413" s="3" t="s">
        <v>107</v>
      </c>
      <c r="AJ413" s="7" t="s">
        <v>79</v>
      </c>
      <c r="AK413" s="3"/>
      <c r="AL413" cm="1">
        <f t="array" ref="AL413">IF(getColor(V413) = 16777215, 0, 1)</f>
        <v>0</v>
      </c>
    </row>
    <row r="414" spans="1:38">
      <c r="A414" s="1">
        <v>413</v>
      </c>
      <c r="B414" s="3" t="s">
        <v>27</v>
      </c>
      <c r="C414" s="7" t="s">
        <v>250</v>
      </c>
      <c r="D414" s="7" t="s">
        <v>156</v>
      </c>
      <c r="E414" s="8">
        <v>55.441633333333336</v>
      </c>
      <c r="F414" s="8">
        <v>-132.4958</v>
      </c>
      <c r="G414" s="9" t="s">
        <v>30</v>
      </c>
      <c r="H414" s="3" t="s">
        <v>31</v>
      </c>
      <c r="I414" s="3" t="s">
        <v>31</v>
      </c>
      <c r="J414" s="3" t="s">
        <v>31</v>
      </c>
      <c r="K414" s="7" t="s">
        <v>44</v>
      </c>
      <c r="L414" s="9">
        <v>46</v>
      </c>
      <c r="M414" s="9">
        <v>66</v>
      </c>
      <c r="N414" s="9">
        <f t="shared" si="37"/>
        <v>20</v>
      </c>
      <c r="O414" s="9"/>
      <c r="P414" s="9"/>
      <c r="Q414" s="25"/>
      <c r="R414" s="11">
        <v>0</v>
      </c>
      <c r="S414" s="1">
        <v>1.74</v>
      </c>
      <c r="T414" s="1">
        <f t="shared" si="38"/>
        <v>1.74</v>
      </c>
      <c r="U414" s="12">
        <v>59</v>
      </c>
      <c r="V414" s="13">
        <v>0.53102500000000008</v>
      </c>
      <c r="W414" s="14">
        <f t="shared" si="39"/>
        <v>757.66647000000012</v>
      </c>
      <c r="X414" s="25"/>
      <c r="Y414" s="14">
        <f t="shared" si="40"/>
        <v>757.66647000000012</v>
      </c>
      <c r="Z414" s="3"/>
      <c r="AA414" s="3"/>
      <c r="AB414" s="5"/>
      <c r="AC414" s="1"/>
      <c r="AD414" s="28"/>
      <c r="AE414" s="32"/>
      <c r="AF414" s="3"/>
      <c r="AG414" s="7"/>
      <c r="AH414" s="7"/>
      <c r="AI414" s="3" t="s">
        <v>107</v>
      </c>
      <c r="AJ414" s="7" t="s">
        <v>44</v>
      </c>
      <c r="AK414" s="3"/>
      <c r="AL414" cm="1">
        <f t="array" ref="AL414">IF(getColor(V414) = 16777215, 0, 1)</f>
        <v>0</v>
      </c>
    </row>
    <row r="415" spans="1:38">
      <c r="A415" s="1">
        <v>414</v>
      </c>
      <c r="B415" s="3" t="s">
        <v>27</v>
      </c>
      <c r="C415" s="7" t="s">
        <v>251</v>
      </c>
      <c r="D415" s="7" t="s">
        <v>252</v>
      </c>
      <c r="E415" s="8">
        <v>55.46798888888889</v>
      </c>
      <c r="F415" s="8">
        <v>-131.64441111111111</v>
      </c>
      <c r="G415" s="9" t="s">
        <v>30</v>
      </c>
      <c r="H415" s="3" t="s">
        <v>31</v>
      </c>
      <c r="I415" s="3" t="s">
        <v>31</v>
      </c>
      <c r="J415" s="3" t="s">
        <v>31</v>
      </c>
      <c r="K415" s="7" t="s">
        <v>53</v>
      </c>
      <c r="L415" s="9">
        <v>10</v>
      </c>
      <c r="M415" s="9">
        <v>0</v>
      </c>
      <c r="N415" s="9">
        <f t="shared" si="37"/>
        <v>10</v>
      </c>
      <c r="O415" s="29">
        <f>M420</f>
        <v>41</v>
      </c>
      <c r="P415" s="29">
        <f>L415</f>
        <v>10</v>
      </c>
      <c r="Q415" s="29">
        <f>P415+O415</f>
        <v>51</v>
      </c>
      <c r="R415" s="11">
        <v>0</v>
      </c>
      <c r="S415" s="1">
        <v>0.11</v>
      </c>
      <c r="T415" s="1">
        <f t="shared" si="38"/>
        <v>0.11</v>
      </c>
      <c r="U415" s="12">
        <v>0</v>
      </c>
      <c r="V415" s="13">
        <v>61.83062000000001</v>
      </c>
      <c r="W415" s="14">
        <f t="shared" si="39"/>
        <v>6801.3682000000017</v>
      </c>
      <c r="X415" s="14">
        <f>SUM(W415:W420)</f>
        <v>12748.8761995</v>
      </c>
      <c r="Y415" s="14">
        <f t="shared" si="40"/>
        <v>6801.3682000000017</v>
      </c>
      <c r="Z415" s="15">
        <f>SUM(Y415:Y420)/10^6*10^4</f>
        <v>127.488761995</v>
      </c>
      <c r="AA415" s="16">
        <v>39.60808527834628</v>
      </c>
      <c r="AB415" s="5"/>
      <c r="AC415" s="1"/>
      <c r="AD415" s="28"/>
      <c r="AE415" s="32"/>
      <c r="AF415" s="3"/>
      <c r="AG415" s="7"/>
      <c r="AH415" s="7"/>
      <c r="AI415" s="3" t="s">
        <v>107</v>
      </c>
      <c r="AJ415" s="7" t="s">
        <v>53</v>
      </c>
      <c r="AK415" s="3"/>
      <c r="AL415" cm="1">
        <f t="array" ref="AL415">IF(getColor(V415) = 16777215, 0, 1)</f>
        <v>0</v>
      </c>
    </row>
    <row r="416" spans="1:38">
      <c r="A416" s="1">
        <v>415</v>
      </c>
      <c r="B416" s="3" t="s">
        <v>27</v>
      </c>
      <c r="C416" s="7" t="s">
        <v>251</v>
      </c>
      <c r="D416" s="7" t="s">
        <v>252</v>
      </c>
      <c r="E416" s="8">
        <v>55.46798888888889</v>
      </c>
      <c r="F416" s="8">
        <v>-131.64441111111111</v>
      </c>
      <c r="G416" s="9" t="s">
        <v>30</v>
      </c>
      <c r="H416" s="3" t="s">
        <v>31</v>
      </c>
      <c r="I416" s="3" t="s">
        <v>31</v>
      </c>
      <c r="J416" s="3" t="s">
        <v>31</v>
      </c>
      <c r="K416" s="7" t="s">
        <v>47</v>
      </c>
      <c r="L416" s="9">
        <v>0</v>
      </c>
      <c r="M416" s="9">
        <v>3</v>
      </c>
      <c r="N416" s="9">
        <f t="shared" si="37"/>
        <v>3</v>
      </c>
      <c r="O416" s="9"/>
      <c r="P416" s="9"/>
      <c r="Q416" s="25"/>
      <c r="R416" s="11">
        <v>0</v>
      </c>
      <c r="S416" s="1">
        <v>0.93</v>
      </c>
      <c r="T416" s="1">
        <f t="shared" si="38"/>
        <v>0.93</v>
      </c>
      <c r="U416" s="12">
        <v>0</v>
      </c>
      <c r="V416" s="13">
        <v>1.5351450000000002</v>
      </c>
      <c r="W416" s="14">
        <f t="shared" si="39"/>
        <v>428.30545500000011</v>
      </c>
      <c r="X416" s="25"/>
      <c r="Y416" s="14">
        <f t="shared" si="40"/>
        <v>428.30545500000011</v>
      </c>
      <c r="Z416" s="3"/>
      <c r="AA416" s="3"/>
      <c r="AB416" s="5"/>
      <c r="AC416" s="5"/>
      <c r="AD416" s="28"/>
      <c r="AE416" s="28"/>
      <c r="AF416" s="3"/>
      <c r="AG416" s="7"/>
      <c r="AH416" s="7"/>
      <c r="AI416" s="3" t="s">
        <v>107</v>
      </c>
      <c r="AJ416" s="7" t="s">
        <v>47</v>
      </c>
      <c r="AK416" s="3"/>
      <c r="AL416" cm="1">
        <f t="array" ref="AL416">IF(getColor(V416) = 16777215, 0, 1)</f>
        <v>0</v>
      </c>
    </row>
    <row r="417" spans="1:38">
      <c r="A417" s="1">
        <v>416</v>
      </c>
      <c r="B417" s="3" t="s">
        <v>27</v>
      </c>
      <c r="C417" s="7" t="s">
        <v>251</v>
      </c>
      <c r="D417" s="7" t="s">
        <v>252</v>
      </c>
      <c r="E417" s="8">
        <v>55.46798888888889</v>
      </c>
      <c r="F417" s="8">
        <v>-131.64441111111111</v>
      </c>
      <c r="G417" s="9" t="s">
        <v>30</v>
      </c>
      <c r="H417" s="3" t="s">
        <v>31</v>
      </c>
      <c r="I417" s="3" t="s">
        <v>31</v>
      </c>
      <c r="J417" s="3" t="s">
        <v>31</v>
      </c>
      <c r="K417" s="7" t="s">
        <v>77</v>
      </c>
      <c r="L417" s="9">
        <v>3</v>
      </c>
      <c r="M417" s="9">
        <v>8</v>
      </c>
      <c r="N417" s="9">
        <f t="shared" si="37"/>
        <v>5</v>
      </c>
      <c r="O417" s="9"/>
      <c r="P417" s="9"/>
      <c r="Q417" s="25"/>
      <c r="R417" s="11">
        <v>0</v>
      </c>
      <c r="S417" s="1">
        <v>0.86</v>
      </c>
      <c r="T417" s="1">
        <f t="shared" si="38"/>
        <v>0.86</v>
      </c>
      <c r="U417" s="12">
        <v>1</v>
      </c>
      <c r="V417" s="13">
        <v>3.63028</v>
      </c>
      <c r="W417" s="14">
        <f t="shared" si="39"/>
        <v>1545.4101959999998</v>
      </c>
      <c r="X417" s="25"/>
      <c r="Y417" s="14">
        <f t="shared" si="40"/>
        <v>1545.4101959999998</v>
      </c>
      <c r="Z417" s="3"/>
      <c r="AA417" s="3"/>
      <c r="AB417" s="5"/>
      <c r="AC417" s="1"/>
      <c r="AD417" s="28"/>
      <c r="AE417" s="28"/>
      <c r="AF417" s="3"/>
      <c r="AG417" s="7"/>
      <c r="AH417" s="7"/>
      <c r="AI417" s="3" t="s">
        <v>107</v>
      </c>
      <c r="AJ417" s="7" t="s">
        <v>78</v>
      </c>
      <c r="AK417" s="3"/>
      <c r="AL417" cm="1">
        <f t="array" ref="AL417">IF(getColor(V417) = 16777215, 0, 1)</f>
        <v>0</v>
      </c>
    </row>
    <row r="418" spans="1:38">
      <c r="A418" s="1">
        <v>417</v>
      </c>
      <c r="B418" s="3" t="s">
        <v>27</v>
      </c>
      <c r="C418" s="7" t="s">
        <v>251</v>
      </c>
      <c r="D418" s="7" t="s">
        <v>252</v>
      </c>
      <c r="E418" s="8">
        <v>55.46798888888889</v>
      </c>
      <c r="F418" s="8">
        <v>-131.64441111111111</v>
      </c>
      <c r="G418" s="9" t="s">
        <v>30</v>
      </c>
      <c r="H418" s="3" t="s">
        <v>31</v>
      </c>
      <c r="I418" s="3" t="s">
        <v>31</v>
      </c>
      <c r="J418" s="3" t="s">
        <v>31</v>
      </c>
      <c r="K418" s="7" t="s">
        <v>41</v>
      </c>
      <c r="L418" s="9">
        <v>8</v>
      </c>
      <c r="M418" s="9">
        <v>15</v>
      </c>
      <c r="N418" s="9">
        <f t="shared" si="37"/>
        <v>7</v>
      </c>
      <c r="O418" s="9"/>
      <c r="P418" s="9"/>
      <c r="Q418" s="25"/>
      <c r="R418" s="11">
        <v>0</v>
      </c>
      <c r="S418" s="1">
        <v>1.17</v>
      </c>
      <c r="T418" s="1">
        <f t="shared" si="38"/>
        <v>1.17</v>
      </c>
      <c r="U418" s="12">
        <v>1</v>
      </c>
      <c r="V418" s="13">
        <v>2.5296100000000004</v>
      </c>
      <c r="W418" s="14">
        <f t="shared" si="39"/>
        <v>2051.0330841</v>
      </c>
      <c r="X418" s="25"/>
      <c r="Y418" s="14">
        <f t="shared" si="40"/>
        <v>2051.0330841</v>
      </c>
      <c r="Z418" s="3"/>
      <c r="AA418" s="3"/>
      <c r="AB418" s="5"/>
      <c r="AC418" s="1"/>
      <c r="AD418" s="28"/>
      <c r="AE418" s="28"/>
      <c r="AF418" s="3"/>
      <c r="AG418" s="7"/>
      <c r="AH418" s="7"/>
      <c r="AI418" s="3" t="s">
        <v>107</v>
      </c>
      <c r="AJ418" s="7" t="s">
        <v>61</v>
      </c>
      <c r="AK418" s="3"/>
      <c r="AL418" cm="1">
        <f t="array" ref="AL418">IF(getColor(V418) = 16777215, 0, 1)</f>
        <v>0</v>
      </c>
    </row>
    <row r="419" spans="1:38">
      <c r="A419" s="1">
        <v>418</v>
      </c>
      <c r="B419" s="3" t="s">
        <v>27</v>
      </c>
      <c r="C419" s="7" t="s">
        <v>251</v>
      </c>
      <c r="D419" s="7" t="s">
        <v>252</v>
      </c>
      <c r="E419" s="8">
        <v>55.46798888888889</v>
      </c>
      <c r="F419" s="8">
        <v>-131.64441111111111</v>
      </c>
      <c r="G419" s="9" t="s">
        <v>30</v>
      </c>
      <c r="H419" s="3" t="s">
        <v>31</v>
      </c>
      <c r="I419" s="3" t="s">
        <v>31</v>
      </c>
      <c r="J419" s="3" t="s">
        <v>31</v>
      </c>
      <c r="K419" s="7" t="s">
        <v>137</v>
      </c>
      <c r="L419" s="9">
        <v>15</v>
      </c>
      <c r="M419" s="9">
        <v>41</v>
      </c>
      <c r="N419" s="9">
        <f t="shared" si="37"/>
        <v>26</v>
      </c>
      <c r="O419" s="9"/>
      <c r="P419" s="9"/>
      <c r="Q419" s="25"/>
      <c r="R419" s="11">
        <v>0</v>
      </c>
      <c r="S419" s="1">
        <v>1.74</v>
      </c>
      <c r="T419" s="1">
        <f t="shared" si="38"/>
        <v>1.74</v>
      </c>
      <c r="U419" s="12">
        <v>38</v>
      </c>
      <c r="V419" s="13">
        <v>0.68550500000000003</v>
      </c>
      <c r="W419" s="14">
        <f t="shared" si="39"/>
        <v>1922.7592643999999</v>
      </c>
      <c r="X419" s="25"/>
      <c r="Y419" s="14">
        <f t="shared" si="40"/>
        <v>1922.7592643999999</v>
      </c>
      <c r="Z419" s="3"/>
      <c r="AA419" s="3"/>
      <c r="AB419" s="5"/>
      <c r="AC419" s="1"/>
      <c r="AD419" s="28"/>
      <c r="AE419" s="28"/>
      <c r="AF419" s="3"/>
      <c r="AG419" s="7"/>
      <c r="AH419" s="7"/>
      <c r="AI419" s="3" t="s">
        <v>107</v>
      </c>
      <c r="AJ419" s="7" t="s">
        <v>137</v>
      </c>
      <c r="AK419" s="3"/>
      <c r="AL419" cm="1">
        <f t="array" ref="AL419">IF(getColor(V419) = 16777215, 0, 1)</f>
        <v>0</v>
      </c>
    </row>
    <row r="420" spans="1:38">
      <c r="A420" s="1">
        <v>419</v>
      </c>
      <c r="B420" s="3" t="s">
        <v>27</v>
      </c>
      <c r="C420" s="7" t="s">
        <v>251</v>
      </c>
      <c r="D420" s="7" t="s">
        <v>252</v>
      </c>
      <c r="E420" s="8">
        <v>55.46798888888889</v>
      </c>
      <c r="F420" s="8">
        <v>-131.64441111111111</v>
      </c>
      <c r="G420" s="9" t="s">
        <v>30</v>
      </c>
      <c r="H420" s="3" t="s">
        <v>31</v>
      </c>
      <c r="I420" s="3" t="s">
        <v>31</v>
      </c>
      <c r="J420" s="3" t="s">
        <v>31</v>
      </c>
      <c r="K420" s="7" t="s">
        <v>253</v>
      </c>
      <c r="L420" s="9">
        <v>41</v>
      </c>
      <c r="M420" s="7">
        <v>41</v>
      </c>
      <c r="N420" s="9">
        <f t="shared" si="37"/>
        <v>0</v>
      </c>
      <c r="O420" s="7"/>
      <c r="P420" s="7"/>
      <c r="Q420" s="7"/>
      <c r="R420" s="11">
        <v>0</v>
      </c>
      <c r="S420" s="1">
        <v>0</v>
      </c>
      <c r="T420" s="1">
        <f t="shared" si="38"/>
        <v>0</v>
      </c>
      <c r="U420" s="12">
        <v>0</v>
      </c>
      <c r="V420" s="35">
        <v>0</v>
      </c>
      <c r="W420" s="14">
        <f t="shared" si="39"/>
        <v>0</v>
      </c>
      <c r="X420" s="25"/>
      <c r="Y420" s="14">
        <f t="shared" si="40"/>
        <v>0</v>
      </c>
      <c r="Z420" s="3"/>
      <c r="AA420" s="3"/>
      <c r="AB420" s="5"/>
      <c r="AC420" s="1"/>
      <c r="AD420" s="28"/>
      <c r="AE420" s="28"/>
      <c r="AF420" s="3"/>
      <c r="AG420" s="7"/>
      <c r="AH420" s="7"/>
      <c r="AI420" s="3" t="s">
        <v>107</v>
      </c>
      <c r="AJ420" s="7" t="s">
        <v>253</v>
      </c>
      <c r="AK420" s="3"/>
      <c r="AL420" cm="1">
        <f t="array" ref="AL420">IF(getColor(V420) = 16777215, 0, 1)</f>
        <v>1</v>
      </c>
    </row>
    <row r="421" spans="1:38">
      <c r="A421" s="1">
        <v>420</v>
      </c>
      <c r="B421" s="3" t="s">
        <v>27</v>
      </c>
      <c r="C421" s="7" t="s">
        <v>254</v>
      </c>
      <c r="D421" s="7" t="s">
        <v>255</v>
      </c>
      <c r="E421" s="8">
        <v>55.491633333333333</v>
      </c>
      <c r="F421" s="8">
        <v>-132.47076666666666</v>
      </c>
      <c r="G421" s="9" t="s">
        <v>30</v>
      </c>
      <c r="H421" s="3" t="s">
        <v>31</v>
      </c>
      <c r="I421" s="3" t="s">
        <v>31</v>
      </c>
      <c r="J421" s="3" t="s">
        <v>31</v>
      </c>
      <c r="K421" s="7" t="s">
        <v>52</v>
      </c>
      <c r="L421" s="9">
        <v>15</v>
      </c>
      <c r="M421" s="9">
        <v>0</v>
      </c>
      <c r="N421" s="9">
        <f t="shared" si="37"/>
        <v>15</v>
      </c>
      <c r="O421" s="29">
        <f>M426</f>
        <v>49</v>
      </c>
      <c r="P421" s="29">
        <f>L421</f>
        <v>15</v>
      </c>
      <c r="Q421" s="29">
        <f>P421+O421</f>
        <v>64</v>
      </c>
      <c r="R421" s="11">
        <v>0</v>
      </c>
      <c r="S421" s="1">
        <v>0.15</v>
      </c>
      <c r="T421" s="1">
        <f t="shared" si="38"/>
        <v>0.15</v>
      </c>
      <c r="U421" s="12">
        <v>0</v>
      </c>
      <c r="V421" s="13">
        <v>28.318114999999999</v>
      </c>
      <c r="W421" s="14">
        <f t="shared" si="39"/>
        <v>6371.5758749999995</v>
      </c>
      <c r="X421" s="14">
        <f>SUM(W421:W426)</f>
        <v>24272.455272800002</v>
      </c>
      <c r="Y421" s="14">
        <f t="shared" si="40"/>
        <v>6371.5758749999995</v>
      </c>
      <c r="Z421" s="15">
        <f>SUM(Y421:Y426)/10^6*10^4</f>
        <v>242.72455272800002</v>
      </c>
      <c r="AA421" s="16">
        <v>44.349507544514452</v>
      </c>
      <c r="AB421" s="5"/>
      <c r="AC421" s="1"/>
      <c r="AD421" s="28"/>
      <c r="AE421" s="28"/>
      <c r="AF421" s="3"/>
      <c r="AG421" s="7"/>
      <c r="AH421" s="7"/>
      <c r="AI421" s="3" t="s">
        <v>107</v>
      </c>
      <c r="AJ421" s="7" t="s">
        <v>76</v>
      </c>
      <c r="AK421" s="3"/>
      <c r="AL421" cm="1">
        <f t="array" ref="AL421">IF(getColor(V421) = 16777215, 0, 1)</f>
        <v>0</v>
      </c>
    </row>
    <row r="422" spans="1:38">
      <c r="A422" s="1">
        <v>421</v>
      </c>
      <c r="B422" s="3" t="s">
        <v>27</v>
      </c>
      <c r="C422" s="7" t="s">
        <v>254</v>
      </c>
      <c r="D422" s="7" t="s">
        <v>255</v>
      </c>
      <c r="E422" s="8">
        <v>55.491633333333333</v>
      </c>
      <c r="F422" s="8">
        <v>-132.47076666666666</v>
      </c>
      <c r="G422" s="9" t="s">
        <v>30</v>
      </c>
      <c r="H422" s="3" t="s">
        <v>31</v>
      </c>
      <c r="I422" s="3" t="s">
        <v>31</v>
      </c>
      <c r="J422" s="3" t="s">
        <v>31</v>
      </c>
      <c r="K422" s="7" t="s">
        <v>47</v>
      </c>
      <c r="L422" s="9">
        <v>0</v>
      </c>
      <c r="M422" s="9">
        <v>2</v>
      </c>
      <c r="N422" s="9">
        <f t="shared" si="37"/>
        <v>2</v>
      </c>
      <c r="O422" s="9"/>
      <c r="P422" s="9"/>
      <c r="Q422" s="25"/>
      <c r="R422" s="11">
        <v>0</v>
      </c>
      <c r="S422" s="1">
        <v>0.93</v>
      </c>
      <c r="T422" s="1">
        <f t="shared" si="38"/>
        <v>0.93</v>
      </c>
      <c r="U422" s="12">
        <v>23</v>
      </c>
      <c r="V422" s="13">
        <v>9.4039700000000011</v>
      </c>
      <c r="W422" s="14">
        <f t="shared" si="39"/>
        <v>1346.8365834000001</v>
      </c>
      <c r="X422" s="25"/>
      <c r="Y422" s="14">
        <f t="shared" si="40"/>
        <v>1346.8365834000001</v>
      </c>
      <c r="Z422" s="3"/>
      <c r="AA422" s="3"/>
      <c r="AB422" s="5"/>
      <c r="AC422" s="5"/>
      <c r="AD422" s="28"/>
      <c r="AE422" s="28"/>
      <c r="AF422" s="3"/>
      <c r="AG422" s="7"/>
      <c r="AH422" s="7"/>
      <c r="AI422" s="3" t="s">
        <v>107</v>
      </c>
      <c r="AJ422" s="7" t="s">
        <v>47</v>
      </c>
      <c r="AK422" s="3"/>
      <c r="AL422" cm="1">
        <f t="array" ref="AL422">IF(getColor(V422) = 16777215, 0, 1)</f>
        <v>0</v>
      </c>
    </row>
    <row r="423" spans="1:38">
      <c r="A423" s="1">
        <v>422</v>
      </c>
      <c r="B423" s="3" t="s">
        <v>27</v>
      </c>
      <c r="C423" s="7" t="s">
        <v>254</v>
      </c>
      <c r="D423" s="7" t="s">
        <v>255</v>
      </c>
      <c r="E423" s="8">
        <v>55.491633333333333</v>
      </c>
      <c r="F423" s="8">
        <v>-132.47076666666666</v>
      </c>
      <c r="G423" s="9" t="s">
        <v>30</v>
      </c>
      <c r="H423" s="3" t="s">
        <v>31</v>
      </c>
      <c r="I423" s="3" t="s">
        <v>31</v>
      </c>
      <c r="J423" s="3" t="s">
        <v>31</v>
      </c>
      <c r="K423" s="7" t="s">
        <v>77</v>
      </c>
      <c r="L423" s="9">
        <v>2</v>
      </c>
      <c r="M423" s="9">
        <v>15</v>
      </c>
      <c r="N423" s="9">
        <f t="shared" si="37"/>
        <v>13</v>
      </c>
      <c r="O423" s="9"/>
      <c r="P423" s="9"/>
      <c r="Q423" s="25"/>
      <c r="R423" s="11">
        <v>0</v>
      </c>
      <c r="S423" s="1">
        <v>0.86</v>
      </c>
      <c r="T423" s="1">
        <f t="shared" si="38"/>
        <v>0.86</v>
      </c>
      <c r="U423" s="12">
        <v>74</v>
      </c>
      <c r="V423" s="13">
        <v>9.4908649999999994</v>
      </c>
      <c r="W423" s="14">
        <f t="shared" si="39"/>
        <v>2758.8046382000002</v>
      </c>
      <c r="X423" s="25"/>
      <c r="Y423" s="14">
        <f t="shared" si="40"/>
        <v>2758.8046382000002</v>
      </c>
      <c r="Z423" s="3"/>
      <c r="AA423" s="3"/>
      <c r="AB423" s="5"/>
      <c r="AC423" s="1"/>
      <c r="AD423" s="28"/>
      <c r="AE423" s="28"/>
      <c r="AF423" s="3"/>
      <c r="AG423" s="7"/>
      <c r="AH423" s="7"/>
      <c r="AI423" s="3" t="s">
        <v>107</v>
      </c>
      <c r="AJ423" s="7" t="s">
        <v>78</v>
      </c>
      <c r="AK423" s="3"/>
      <c r="AL423" cm="1">
        <f t="array" ref="AL423">IF(getColor(V423) = 16777215, 0, 1)</f>
        <v>0</v>
      </c>
    </row>
    <row r="424" spans="1:38">
      <c r="A424" s="1">
        <v>423</v>
      </c>
      <c r="B424" s="3" t="s">
        <v>27</v>
      </c>
      <c r="C424" s="7" t="s">
        <v>254</v>
      </c>
      <c r="D424" s="7" t="s">
        <v>255</v>
      </c>
      <c r="E424" s="8">
        <v>55.491633333333333</v>
      </c>
      <c r="F424" s="8">
        <v>-132.47076666666666</v>
      </c>
      <c r="G424" s="9" t="s">
        <v>30</v>
      </c>
      <c r="H424" s="3" t="s">
        <v>31</v>
      </c>
      <c r="I424" s="3" t="s">
        <v>31</v>
      </c>
      <c r="J424" s="3" t="s">
        <v>31</v>
      </c>
      <c r="K424" s="7" t="s">
        <v>69</v>
      </c>
      <c r="L424" s="9">
        <v>15</v>
      </c>
      <c r="M424" s="9">
        <v>32</v>
      </c>
      <c r="N424" s="9">
        <f t="shared" si="37"/>
        <v>17</v>
      </c>
      <c r="O424" s="9"/>
      <c r="P424" s="9"/>
      <c r="Q424" s="25"/>
      <c r="R424" s="11">
        <v>0</v>
      </c>
      <c r="S424" s="1">
        <v>1.17</v>
      </c>
      <c r="T424" s="1">
        <f t="shared" si="38"/>
        <v>1.17</v>
      </c>
      <c r="U424" s="12">
        <v>47</v>
      </c>
      <c r="V424" s="13">
        <v>9.2688000000000006</v>
      </c>
      <c r="W424" s="14">
        <f t="shared" si="39"/>
        <v>9770.890895999999</v>
      </c>
      <c r="X424" s="25"/>
      <c r="Y424" s="14">
        <f t="shared" si="40"/>
        <v>9770.890895999999</v>
      </c>
      <c r="Z424" s="3"/>
      <c r="AA424" s="3"/>
      <c r="AB424" s="5"/>
      <c r="AC424" s="1"/>
      <c r="AD424" s="28"/>
      <c r="AE424" s="28"/>
      <c r="AF424" s="3"/>
      <c r="AG424" s="7"/>
      <c r="AH424" s="7"/>
      <c r="AI424" s="3" t="s">
        <v>107</v>
      </c>
      <c r="AJ424" s="7" t="s">
        <v>70</v>
      </c>
      <c r="AK424" s="3"/>
      <c r="AL424" cm="1">
        <f t="array" ref="AL424">IF(getColor(V424) = 16777215, 0, 1)</f>
        <v>0</v>
      </c>
    </row>
    <row r="425" spans="1:38">
      <c r="A425" s="1">
        <v>424</v>
      </c>
      <c r="B425" s="3" t="s">
        <v>27</v>
      </c>
      <c r="C425" s="7" t="s">
        <v>254</v>
      </c>
      <c r="D425" s="7" t="s">
        <v>255</v>
      </c>
      <c r="E425" s="8">
        <v>55.491633333333333</v>
      </c>
      <c r="F425" s="8">
        <v>-132.47076666666666</v>
      </c>
      <c r="G425" s="9" t="s">
        <v>30</v>
      </c>
      <c r="H425" s="3" t="s">
        <v>31</v>
      </c>
      <c r="I425" s="3" t="s">
        <v>31</v>
      </c>
      <c r="J425" s="3" t="s">
        <v>31</v>
      </c>
      <c r="K425" s="7" t="s">
        <v>71</v>
      </c>
      <c r="L425" s="9">
        <v>32</v>
      </c>
      <c r="M425" s="9">
        <v>49</v>
      </c>
      <c r="N425" s="9">
        <f t="shared" si="37"/>
        <v>17</v>
      </c>
      <c r="O425" s="9"/>
      <c r="P425" s="9"/>
      <c r="Q425" s="25"/>
      <c r="R425" s="11">
        <v>0</v>
      </c>
      <c r="S425" s="1">
        <v>1.17</v>
      </c>
      <c r="T425" s="1">
        <f t="shared" si="38"/>
        <v>1.17</v>
      </c>
      <c r="U425" s="12">
        <v>69</v>
      </c>
      <c r="V425" s="13">
        <v>6.5267799999999996</v>
      </c>
      <c r="W425" s="14">
        <f t="shared" si="39"/>
        <v>4024.3472801999997</v>
      </c>
      <c r="X425" s="25"/>
      <c r="Y425" s="14">
        <f t="shared" si="40"/>
        <v>4024.3472801999997</v>
      </c>
      <c r="Z425" s="3"/>
      <c r="AA425" s="3"/>
      <c r="AB425" s="5"/>
      <c r="AC425" s="1"/>
      <c r="AD425" s="28"/>
      <c r="AE425" s="28"/>
      <c r="AF425" s="3"/>
      <c r="AG425" s="7"/>
      <c r="AH425" s="7"/>
      <c r="AI425" s="3" t="s">
        <v>107</v>
      </c>
      <c r="AJ425" s="7" t="s">
        <v>72</v>
      </c>
      <c r="AK425" s="3"/>
      <c r="AL425" cm="1">
        <f t="array" ref="AL425">IF(getColor(V425) = 16777215, 0, 1)</f>
        <v>0</v>
      </c>
    </row>
    <row r="426" spans="1:38">
      <c r="A426" s="1">
        <v>425</v>
      </c>
      <c r="B426" s="3" t="s">
        <v>27</v>
      </c>
      <c r="C426" s="7" t="s">
        <v>254</v>
      </c>
      <c r="D426" s="7" t="s">
        <v>255</v>
      </c>
      <c r="E426" s="8">
        <v>55.491633333333333</v>
      </c>
      <c r="F426" s="8">
        <v>-132.47076666666666</v>
      </c>
      <c r="G426" s="9" t="s">
        <v>30</v>
      </c>
      <c r="H426" s="3" t="s">
        <v>31</v>
      </c>
      <c r="I426" s="3" t="s">
        <v>31</v>
      </c>
      <c r="J426" s="3" t="s">
        <v>31</v>
      </c>
      <c r="K426" s="7" t="s">
        <v>137</v>
      </c>
      <c r="L426" s="9">
        <v>49</v>
      </c>
      <c r="M426" s="9">
        <v>49</v>
      </c>
      <c r="N426" s="9">
        <f t="shared" si="37"/>
        <v>0</v>
      </c>
      <c r="O426" s="9"/>
      <c r="P426" s="9"/>
      <c r="Q426" s="25"/>
      <c r="R426" s="11">
        <v>0</v>
      </c>
      <c r="S426" s="1">
        <v>1.74</v>
      </c>
      <c r="T426" s="1">
        <f t="shared" si="38"/>
        <v>1.74</v>
      </c>
      <c r="U426" s="12">
        <v>58</v>
      </c>
      <c r="V426" s="13">
        <v>1.23584</v>
      </c>
      <c r="W426" s="14">
        <f t="shared" si="39"/>
        <v>0</v>
      </c>
      <c r="X426" s="25"/>
      <c r="Y426" s="14">
        <f t="shared" si="40"/>
        <v>0</v>
      </c>
      <c r="Z426" s="3"/>
      <c r="AA426" s="3"/>
      <c r="AB426" s="5"/>
      <c r="AC426" s="1"/>
      <c r="AD426" s="28"/>
      <c r="AE426" s="28"/>
      <c r="AF426" s="3"/>
      <c r="AG426" s="7"/>
      <c r="AH426" s="7"/>
      <c r="AI426" s="3" t="s">
        <v>107</v>
      </c>
      <c r="AJ426" s="7" t="s">
        <v>137</v>
      </c>
      <c r="AK426" s="3"/>
      <c r="AL426" cm="1">
        <f t="array" ref="AL426">IF(getColor(V426) = 16777215, 0, 1)</f>
        <v>0</v>
      </c>
    </row>
    <row r="427" spans="1:38">
      <c r="A427" s="1">
        <v>426</v>
      </c>
      <c r="B427" s="3" t="s">
        <v>27</v>
      </c>
      <c r="C427" s="7" t="s">
        <v>256</v>
      </c>
      <c r="D427" s="7" t="s">
        <v>145</v>
      </c>
      <c r="E427" s="8">
        <v>55.48746666666667</v>
      </c>
      <c r="F427" s="8">
        <v>-132.63746666666665</v>
      </c>
      <c r="G427" s="9" t="s">
        <v>30</v>
      </c>
      <c r="H427" s="3" t="s">
        <v>31</v>
      </c>
      <c r="I427" s="3" t="s">
        <v>31</v>
      </c>
      <c r="J427" s="3" t="s">
        <v>31</v>
      </c>
      <c r="K427" s="7" t="s">
        <v>49</v>
      </c>
      <c r="L427" s="9">
        <v>20</v>
      </c>
      <c r="M427" s="9">
        <v>0</v>
      </c>
      <c r="N427" s="9">
        <f t="shared" si="37"/>
        <v>20</v>
      </c>
      <c r="O427" s="29">
        <f>M428</f>
        <v>1</v>
      </c>
      <c r="P427" s="29">
        <f>L427</f>
        <v>20</v>
      </c>
      <c r="Q427" s="29">
        <f>P427+O427</f>
        <v>21</v>
      </c>
      <c r="R427" s="11">
        <v>0</v>
      </c>
      <c r="S427" s="1">
        <v>0.08</v>
      </c>
      <c r="T427" s="1">
        <f t="shared" si="38"/>
        <v>0.08</v>
      </c>
      <c r="U427" s="12">
        <v>0</v>
      </c>
      <c r="V427" s="13">
        <v>21.333311999999999</v>
      </c>
      <c r="W427" s="14">
        <f t="shared" si="39"/>
        <v>3413.3299199999997</v>
      </c>
      <c r="X427" s="14">
        <f>SUM(W427:W428)</f>
        <v>3838.3646300999999</v>
      </c>
      <c r="Y427" s="14">
        <f t="shared" si="40"/>
        <v>3413.3299199999997</v>
      </c>
      <c r="Z427" s="15">
        <f>SUM(Y427:Y428)/10^6*10^4</f>
        <v>38.383646300999999</v>
      </c>
      <c r="AA427" s="16">
        <v>28.475308076197596</v>
      </c>
      <c r="AB427" s="5"/>
      <c r="AC427" s="1"/>
      <c r="AD427" s="28"/>
      <c r="AE427" s="28"/>
      <c r="AF427" s="3"/>
      <c r="AG427" s="7"/>
      <c r="AH427" s="7"/>
      <c r="AI427" s="3" t="s">
        <v>146</v>
      </c>
      <c r="AJ427" s="7" t="s">
        <v>60</v>
      </c>
      <c r="AK427" s="3"/>
      <c r="AL427" cm="1">
        <f t="array" ref="AL427">IF(getColor(V427) = 16777215, 0, 1)</f>
        <v>0</v>
      </c>
    </row>
    <row r="428" spans="1:38">
      <c r="A428" s="1">
        <v>427</v>
      </c>
      <c r="B428" s="3" t="s">
        <v>27</v>
      </c>
      <c r="C428" s="7" t="s">
        <v>256</v>
      </c>
      <c r="D428" s="7" t="s">
        <v>145</v>
      </c>
      <c r="E428" s="8">
        <v>55.48746666666667</v>
      </c>
      <c r="F428" s="8">
        <v>-132.63746666666665</v>
      </c>
      <c r="G428" s="9" t="s">
        <v>30</v>
      </c>
      <c r="H428" s="3" t="s">
        <v>31</v>
      </c>
      <c r="I428" s="3" t="s">
        <v>31</v>
      </c>
      <c r="J428" s="3" t="s">
        <v>31</v>
      </c>
      <c r="K428" s="7" t="s">
        <v>47</v>
      </c>
      <c r="L428" s="9">
        <v>0</v>
      </c>
      <c r="M428" s="9">
        <v>1</v>
      </c>
      <c r="N428" s="9">
        <f t="shared" si="37"/>
        <v>1</v>
      </c>
      <c r="O428" s="9"/>
      <c r="P428" s="9"/>
      <c r="Q428" s="25"/>
      <c r="R428" s="11">
        <v>0</v>
      </c>
      <c r="S428" s="1">
        <v>0.93</v>
      </c>
      <c r="T428" s="1">
        <f t="shared" si="38"/>
        <v>0.93</v>
      </c>
      <c r="U428" s="12">
        <v>11</v>
      </c>
      <c r="V428" s="13">
        <v>5.1351300000000002</v>
      </c>
      <c r="W428" s="14">
        <f t="shared" si="39"/>
        <v>425.03471010000004</v>
      </c>
      <c r="X428" s="25"/>
      <c r="Y428" s="14">
        <f t="shared" si="40"/>
        <v>425.03471010000004</v>
      </c>
      <c r="Z428" s="3"/>
      <c r="AA428" s="3"/>
      <c r="AB428" s="5"/>
      <c r="AC428" s="5"/>
      <c r="AD428" s="28"/>
      <c r="AE428" s="28"/>
      <c r="AF428" s="3"/>
      <c r="AG428" s="7"/>
      <c r="AH428" s="7"/>
      <c r="AI428" s="3" t="s">
        <v>146</v>
      </c>
      <c r="AJ428" s="7" t="s">
        <v>47</v>
      </c>
      <c r="AK428" s="3"/>
      <c r="AL428" cm="1">
        <f t="array" ref="AL428">IF(getColor(V428) = 16777215, 0, 1)</f>
        <v>0</v>
      </c>
    </row>
    <row r="429" spans="1:38">
      <c r="A429" s="1">
        <v>428</v>
      </c>
      <c r="B429" s="3" t="s">
        <v>27</v>
      </c>
      <c r="C429" s="7" t="s">
        <v>257</v>
      </c>
      <c r="D429" s="7" t="s">
        <v>258</v>
      </c>
      <c r="E429" s="8">
        <v>55.48746666666667</v>
      </c>
      <c r="F429" s="8">
        <v>-132.64579999999998</v>
      </c>
      <c r="G429" s="9" t="s">
        <v>30</v>
      </c>
      <c r="H429" s="3" t="s">
        <v>31</v>
      </c>
      <c r="I429" s="3" t="s">
        <v>31</v>
      </c>
      <c r="J429" s="3" t="s">
        <v>31</v>
      </c>
      <c r="K429" s="7" t="s">
        <v>52</v>
      </c>
      <c r="L429" s="9">
        <v>20</v>
      </c>
      <c r="M429" s="9">
        <v>0</v>
      </c>
      <c r="N429" s="9">
        <f t="shared" si="37"/>
        <v>20</v>
      </c>
      <c r="O429" s="29">
        <f>M430</f>
        <v>10</v>
      </c>
      <c r="P429" s="29">
        <f>L429</f>
        <v>20</v>
      </c>
      <c r="Q429" s="29">
        <f>P429+O429</f>
        <v>30</v>
      </c>
      <c r="R429" s="11">
        <v>0</v>
      </c>
      <c r="S429" s="1">
        <v>0.15</v>
      </c>
      <c r="T429" s="1">
        <f t="shared" si="38"/>
        <v>0.15</v>
      </c>
      <c r="U429" s="12">
        <v>0</v>
      </c>
      <c r="V429" s="13">
        <v>35.702667000000005</v>
      </c>
      <c r="W429" s="14">
        <f t="shared" si="39"/>
        <v>10710.800100000002</v>
      </c>
      <c r="X429" s="14">
        <f>SUM(W429:W430)</f>
        <v>12331.549830600003</v>
      </c>
      <c r="Y429" s="14">
        <f t="shared" si="40"/>
        <v>10710.800100000002</v>
      </c>
      <c r="Z429" s="15">
        <f>SUM(Y429:Y430)/10^6*10^4</f>
        <v>123.31549830600002</v>
      </c>
      <c r="AA429" s="16">
        <v>37.22663856224785</v>
      </c>
      <c r="AB429" s="5"/>
      <c r="AC429" s="1"/>
      <c r="AD429" s="28"/>
      <c r="AE429" s="28"/>
      <c r="AF429" s="3"/>
      <c r="AG429" s="7"/>
      <c r="AH429" s="7"/>
      <c r="AI429" s="3" t="s">
        <v>107</v>
      </c>
      <c r="AJ429" s="7" t="s">
        <v>76</v>
      </c>
      <c r="AK429" s="3"/>
      <c r="AL429" cm="1">
        <f t="array" ref="AL429">IF(getColor(V429) = 16777215, 0, 1)</f>
        <v>0</v>
      </c>
    </row>
    <row r="430" spans="1:38">
      <c r="A430" s="1">
        <v>429</v>
      </c>
      <c r="B430" s="3" t="s">
        <v>27</v>
      </c>
      <c r="C430" s="7" t="s">
        <v>257</v>
      </c>
      <c r="D430" s="7" t="s">
        <v>258</v>
      </c>
      <c r="E430" s="8">
        <v>55.48746666666667</v>
      </c>
      <c r="F430" s="8">
        <v>-132.64579999999998</v>
      </c>
      <c r="G430" s="9" t="s">
        <v>30</v>
      </c>
      <c r="H430" s="3" t="s">
        <v>31</v>
      </c>
      <c r="I430" s="3" t="s">
        <v>31</v>
      </c>
      <c r="J430" s="3" t="s">
        <v>31</v>
      </c>
      <c r="K430" s="7" t="s">
        <v>77</v>
      </c>
      <c r="L430" s="9">
        <v>0</v>
      </c>
      <c r="M430" s="9">
        <v>10</v>
      </c>
      <c r="N430" s="9">
        <f t="shared" si="37"/>
        <v>10</v>
      </c>
      <c r="O430" s="9"/>
      <c r="P430" s="9"/>
      <c r="Q430" s="25"/>
      <c r="R430" s="11">
        <v>0</v>
      </c>
      <c r="S430" s="1">
        <v>0.86</v>
      </c>
      <c r="T430" s="1">
        <f t="shared" si="38"/>
        <v>0.86</v>
      </c>
      <c r="U430" s="12">
        <v>43</v>
      </c>
      <c r="V430" s="13">
        <v>3.3063030000000002</v>
      </c>
      <c r="W430" s="14">
        <f t="shared" si="39"/>
        <v>1620.7497305999998</v>
      </c>
      <c r="X430" s="25"/>
      <c r="Y430" s="14">
        <f t="shared" si="40"/>
        <v>1620.7497305999998</v>
      </c>
      <c r="Z430" s="3"/>
      <c r="AA430" s="3"/>
      <c r="AB430" s="5"/>
      <c r="AC430" s="5"/>
      <c r="AD430" s="28"/>
      <c r="AE430" s="28"/>
      <c r="AF430" s="3"/>
      <c r="AG430" s="7"/>
      <c r="AH430" s="7"/>
      <c r="AI430" s="3" t="s">
        <v>107</v>
      </c>
      <c r="AJ430" s="7" t="s">
        <v>78</v>
      </c>
      <c r="AK430" s="3"/>
      <c r="AL430" cm="1">
        <f t="array" ref="AL430">IF(getColor(V430) = 16777215, 0, 1)</f>
        <v>0</v>
      </c>
    </row>
    <row r="431" spans="1:38">
      <c r="A431" s="1">
        <v>430</v>
      </c>
      <c r="B431" s="3" t="s">
        <v>27</v>
      </c>
      <c r="C431" s="7" t="s">
        <v>259</v>
      </c>
      <c r="D431" s="7" t="s">
        <v>164</v>
      </c>
      <c r="E431" s="8">
        <v>55.48746666666667</v>
      </c>
      <c r="F431" s="8">
        <v>-132.63746666666665</v>
      </c>
      <c r="G431" s="9" t="s">
        <v>30</v>
      </c>
      <c r="H431" s="3" t="s">
        <v>31</v>
      </c>
      <c r="I431" s="3" t="s">
        <v>31</v>
      </c>
      <c r="J431" s="3" t="s">
        <v>31</v>
      </c>
      <c r="K431" s="7" t="s">
        <v>49</v>
      </c>
      <c r="L431" s="9">
        <v>15</v>
      </c>
      <c r="M431" s="9">
        <v>0</v>
      </c>
      <c r="N431" s="9">
        <f t="shared" si="37"/>
        <v>15</v>
      </c>
      <c r="O431" s="29">
        <f>M432</f>
        <v>10</v>
      </c>
      <c r="P431" s="29">
        <f>L431</f>
        <v>15</v>
      </c>
      <c r="Q431" s="29">
        <f>P431+O431</f>
        <v>25</v>
      </c>
      <c r="R431" s="11">
        <v>0</v>
      </c>
      <c r="S431" s="1">
        <v>0.08</v>
      </c>
      <c r="T431" s="1">
        <f t="shared" si="38"/>
        <v>0.08</v>
      </c>
      <c r="U431" s="12">
        <v>0</v>
      </c>
      <c r="V431" s="13">
        <v>32.999967000000005</v>
      </c>
      <c r="W431" s="14">
        <f t="shared" si="39"/>
        <v>3959.9960400000009</v>
      </c>
      <c r="X431" s="14">
        <f>SUM(W431:W432)</f>
        <v>9582.9958224000002</v>
      </c>
      <c r="Y431" s="14">
        <f t="shared" si="40"/>
        <v>3959.9960400000009</v>
      </c>
      <c r="Z431" s="15">
        <f>SUM(Y431:Y432)/10^6*10^4</f>
        <v>95.829958224000009</v>
      </c>
      <c r="AA431" s="16">
        <v>31.274859075671216</v>
      </c>
      <c r="AB431" s="5"/>
      <c r="AC431" s="1"/>
      <c r="AD431" s="28"/>
      <c r="AE431" s="28"/>
      <c r="AF431" s="3"/>
      <c r="AG431" s="7"/>
      <c r="AH431" s="7"/>
      <c r="AI431" s="3" t="s">
        <v>107</v>
      </c>
      <c r="AJ431" s="7" t="s">
        <v>60</v>
      </c>
      <c r="AK431" s="3"/>
      <c r="AL431" cm="1">
        <f t="array" ref="AL431">IF(getColor(V431) = 16777215, 0, 1)</f>
        <v>0</v>
      </c>
    </row>
    <row r="432" spans="1:38">
      <c r="A432" s="1">
        <v>431</v>
      </c>
      <c r="B432" s="3" t="s">
        <v>27</v>
      </c>
      <c r="C432" s="7" t="s">
        <v>259</v>
      </c>
      <c r="D432" s="7" t="s">
        <v>164</v>
      </c>
      <c r="E432" s="8">
        <v>55.48746666666667</v>
      </c>
      <c r="F432" s="8">
        <v>-132.63746666666665</v>
      </c>
      <c r="G432" s="9" t="s">
        <v>30</v>
      </c>
      <c r="H432" s="3" t="s">
        <v>31</v>
      </c>
      <c r="I432" s="3" t="s">
        <v>31</v>
      </c>
      <c r="J432" s="3" t="s">
        <v>31</v>
      </c>
      <c r="K432" s="7" t="s">
        <v>77</v>
      </c>
      <c r="L432" s="9">
        <v>0</v>
      </c>
      <c r="M432" s="9">
        <v>10</v>
      </c>
      <c r="N432" s="9">
        <f t="shared" si="37"/>
        <v>10</v>
      </c>
      <c r="O432" s="9"/>
      <c r="P432" s="9"/>
      <c r="Q432" s="25"/>
      <c r="R432" s="11">
        <v>0</v>
      </c>
      <c r="S432" s="1">
        <v>0.86</v>
      </c>
      <c r="T432" s="1">
        <f t="shared" si="38"/>
        <v>0.86</v>
      </c>
      <c r="U432" s="12">
        <v>36</v>
      </c>
      <c r="V432" s="13">
        <v>10.216206</v>
      </c>
      <c r="W432" s="14">
        <f t="shared" si="39"/>
        <v>5622.9997824000002</v>
      </c>
      <c r="X432" s="25"/>
      <c r="Y432" s="14">
        <f t="shared" si="40"/>
        <v>5622.9997824000002</v>
      </c>
      <c r="Z432" s="3"/>
      <c r="AA432" s="3"/>
      <c r="AB432" s="5"/>
      <c r="AC432" s="5"/>
      <c r="AD432" s="28"/>
      <c r="AE432" s="28"/>
      <c r="AF432" s="3"/>
      <c r="AG432" s="7"/>
      <c r="AH432" s="7"/>
      <c r="AI432" s="3" t="s">
        <v>107</v>
      </c>
      <c r="AJ432" s="7" t="s">
        <v>78</v>
      </c>
      <c r="AK432" s="3"/>
      <c r="AL432" cm="1">
        <f t="array" ref="AL432">IF(getColor(V432) = 16777215, 0, 1)</f>
        <v>0</v>
      </c>
    </row>
    <row r="433" spans="1:38">
      <c r="A433" s="1">
        <v>432</v>
      </c>
      <c r="B433" s="3" t="s">
        <v>27</v>
      </c>
      <c r="C433" s="7" t="s">
        <v>260</v>
      </c>
      <c r="D433" s="7" t="s">
        <v>261</v>
      </c>
      <c r="E433" s="8">
        <v>55.48746666666667</v>
      </c>
      <c r="F433" s="8">
        <v>-132.63746666666665</v>
      </c>
      <c r="G433" s="9" t="s">
        <v>30</v>
      </c>
      <c r="H433" s="3" t="s">
        <v>31</v>
      </c>
      <c r="I433" s="3" t="s">
        <v>31</v>
      </c>
      <c r="J433" s="3" t="s">
        <v>31</v>
      </c>
      <c r="K433" s="7" t="s">
        <v>49</v>
      </c>
      <c r="L433" s="9">
        <v>14</v>
      </c>
      <c r="M433" s="9">
        <v>0</v>
      </c>
      <c r="N433" s="9">
        <f t="shared" si="37"/>
        <v>14</v>
      </c>
      <c r="O433" s="29">
        <f>M434</f>
        <v>12</v>
      </c>
      <c r="P433" s="29">
        <f>L433</f>
        <v>14</v>
      </c>
      <c r="Q433" s="29">
        <f>P433+O433</f>
        <v>26</v>
      </c>
      <c r="R433" s="11">
        <v>0</v>
      </c>
      <c r="S433" s="1">
        <v>0.08</v>
      </c>
      <c r="T433" s="1">
        <f t="shared" si="38"/>
        <v>0.08</v>
      </c>
      <c r="U433" s="12">
        <v>0</v>
      </c>
      <c r="V433" s="13">
        <v>32.504472</v>
      </c>
      <c r="W433" s="14">
        <f t="shared" si="39"/>
        <v>3640.5008640000005</v>
      </c>
      <c r="X433" s="14">
        <f>SUM(W433:W434)</f>
        <v>15389.678304000005</v>
      </c>
      <c r="Y433" s="14">
        <f t="shared" si="40"/>
        <v>3640.5008640000005</v>
      </c>
      <c r="Z433" s="15">
        <f>SUM(Y433:Y434)/10^6*10^4</f>
        <v>153.89678304000003</v>
      </c>
      <c r="AA433" s="16">
        <v>32.857639014580364</v>
      </c>
      <c r="AB433" s="5"/>
      <c r="AC433" s="1"/>
      <c r="AD433" s="28"/>
      <c r="AE433" s="28"/>
      <c r="AF433" s="3"/>
      <c r="AG433" s="7"/>
      <c r="AH433" s="7"/>
      <c r="AI433" s="3" t="s">
        <v>84</v>
      </c>
      <c r="AJ433" s="7" t="s">
        <v>60</v>
      </c>
      <c r="AK433" s="3"/>
      <c r="AL433" cm="1">
        <f t="array" ref="AL433">IF(getColor(V433) = 16777215, 0, 1)</f>
        <v>0</v>
      </c>
    </row>
    <row r="434" spans="1:38">
      <c r="A434" s="1">
        <v>433</v>
      </c>
      <c r="B434" s="3" t="s">
        <v>27</v>
      </c>
      <c r="C434" s="7" t="s">
        <v>260</v>
      </c>
      <c r="D434" s="7" t="s">
        <v>261</v>
      </c>
      <c r="E434" s="8">
        <v>55.48746666666667</v>
      </c>
      <c r="F434" s="8">
        <v>-132.63746666666665</v>
      </c>
      <c r="G434" s="9" t="s">
        <v>30</v>
      </c>
      <c r="H434" s="3" t="s">
        <v>31</v>
      </c>
      <c r="I434" s="3" t="s">
        <v>31</v>
      </c>
      <c r="J434" s="3" t="s">
        <v>31</v>
      </c>
      <c r="K434" s="7" t="s">
        <v>44</v>
      </c>
      <c r="L434" s="9">
        <v>0</v>
      </c>
      <c r="M434" s="9">
        <v>12</v>
      </c>
      <c r="N434" s="9">
        <f t="shared" si="37"/>
        <v>12</v>
      </c>
      <c r="O434" s="9"/>
      <c r="P434" s="9"/>
      <c r="Q434" s="25"/>
      <c r="R434" s="11">
        <v>0</v>
      </c>
      <c r="S434" s="1">
        <v>1.1000000000000001</v>
      </c>
      <c r="T434" s="1">
        <f t="shared" si="38"/>
        <v>1.1000000000000001</v>
      </c>
      <c r="U434" s="12">
        <v>20</v>
      </c>
      <c r="V434" s="13">
        <v>11.126115</v>
      </c>
      <c r="W434" s="14">
        <f t="shared" si="39"/>
        <v>11749.177440000003</v>
      </c>
      <c r="X434" s="25"/>
      <c r="Y434" s="14">
        <f t="shared" si="40"/>
        <v>11749.177440000003</v>
      </c>
      <c r="Z434" s="3"/>
      <c r="AA434" s="3"/>
      <c r="AB434" s="5"/>
      <c r="AC434" s="5"/>
      <c r="AD434" s="28"/>
      <c r="AE434" s="28"/>
      <c r="AF434" s="3"/>
      <c r="AG434" s="7"/>
      <c r="AH434" s="7"/>
      <c r="AI434" s="3" t="s">
        <v>84</v>
      </c>
      <c r="AJ434" s="7" t="s">
        <v>44</v>
      </c>
      <c r="AK434" s="3"/>
      <c r="AL434" cm="1">
        <f t="array" ref="AL434">IF(getColor(V434) = 16777215, 0, 1)</f>
        <v>0</v>
      </c>
    </row>
    <row r="435" spans="1:38">
      <c r="A435" s="1">
        <v>434</v>
      </c>
      <c r="B435" s="3" t="s">
        <v>27</v>
      </c>
      <c r="C435" s="7" t="s">
        <v>262</v>
      </c>
      <c r="D435" s="7" t="s">
        <v>263</v>
      </c>
      <c r="E435" s="8">
        <v>55.48746666666667</v>
      </c>
      <c r="F435" s="8">
        <v>-132.63746666666665</v>
      </c>
      <c r="G435" s="9" t="s">
        <v>30</v>
      </c>
      <c r="H435" s="3" t="s">
        <v>31</v>
      </c>
      <c r="I435" s="3" t="s">
        <v>31</v>
      </c>
      <c r="J435" s="3" t="s">
        <v>31</v>
      </c>
      <c r="K435" s="7" t="s">
        <v>49</v>
      </c>
      <c r="L435" s="9">
        <v>18</v>
      </c>
      <c r="M435" s="9">
        <v>0</v>
      </c>
      <c r="N435" s="9">
        <f t="shared" si="37"/>
        <v>18</v>
      </c>
      <c r="O435" s="29">
        <f>M436</f>
        <v>17</v>
      </c>
      <c r="P435" s="29">
        <f>L435</f>
        <v>18</v>
      </c>
      <c r="Q435" s="29">
        <f>P435+O435</f>
        <v>35</v>
      </c>
      <c r="R435" s="11">
        <v>0</v>
      </c>
      <c r="S435" s="1">
        <v>0.08</v>
      </c>
      <c r="T435" s="1">
        <f t="shared" si="38"/>
        <v>0.08</v>
      </c>
      <c r="U435" s="12">
        <v>0</v>
      </c>
      <c r="V435" s="13">
        <v>35.558523000000001</v>
      </c>
      <c r="W435" s="14">
        <f t="shared" si="39"/>
        <v>5120.4273120000007</v>
      </c>
      <c r="X435" s="14">
        <f>SUM(W435:W436)</f>
        <v>16987.640670000004</v>
      </c>
      <c r="Y435" s="14">
        <f t="shared" si="40"/>
        <v>5120.4273120000007</v>
      </c>
      <c r="Z435" s="15">
        <f>SUM(Y435:Y436)/10^6*10^4</f>
        <v>169.87640670000005</v>
      </c>
      <c r="AA435" s="16">
        <v>42.970130532184513</v>
      </c>
      <c r="AB435" s="5"/>
      <c r="AC435" s="1"/>
      <c r="AD435" s="28"/>
      <c r="AE435" s="28"/>
      <c r="AF435" s="3"/>
      <c r="AG435" s="7"/>
      <c r="AH435" s="7"/>
      <c r="AI435" s="3" t="s">
        <v>107</v>
      </c>
      <c r="AJ435" s="7" t="s">
        <v>60</v>
      </c>
      <c r="AK435" s="3"/>
      <c r="AL435" cm="1">
        <f t="array" ref="AL435">IF(getColor(V435) = 16777215, 0, 1)</f>
        <v>0</v>
      </c>
    </row>
    <row r="436" spans="1:38">
      <c r="A436" s="1">
        <v>435</v>
      </c>
      <c r="B436" s="3" t="s">
        <v>27</v>
      </c>
      <c r="C436" s="7" t="s">
        <v>262</v>
      </c>
      <c r="D436" s="7" t="s">
        <v>263</v>
      </c>
      <c r="E436" s="8">
        <v>55.48746666666667</v>
      </c>
      <c r="F436" s="8">
        <v>-132.63746666666665</v>
      </c>
      <c r="G436" s="9" t="s">
        <v>30</v>
      </c>
      <c r="H436" s="3" t="s">
        <v>31</v>
      </c>
      <c r="I436" s="3" t="s">
        <v>31</v>
      </c>
      <c r="J436" s="3" t="s">
        <v>31</v>
      </c>
      <c r="K436" s="7" t="s">
        <v>68</v>
      </c>
      <c r="L436" s="9">
        <v>0</v>
      </c>
      <c r="M436" s="9">
        <v>17</v>
      </c>
      <c r="N436" s="9">
        <f t="shared" si="37"/>
        <v>17</v>
      </c>
      <c r="O436" s="9"/>
      <c r="P436" s="9"/>
      <c r="Q436" s="25"/>
      <c r="R436" s="11">
        <v>0</v>
      </c>
      <c r="S436" s="1">
        <v>0.86</v>
      </c>
      <c r="T436" s="1">
        <f t="shared" si="38"/>
        <v>0.86</v>
      </c>
      <c r="U436" s="12">
        <v>32</v>
      </c>
      <c r="V436" s="13">
        <v>11.936925</v>
      </c>
      <c r="W436" s="14">
        <f t="shared" si="39"/>
        <v>11867.213358000003</v>
      </c>
      <c r="X436" s="25"/>
      <c r="Y436" s="14">
        <f t="shared" si="40"/>
        <v>11867.213358000003</v>
      </c>
      <c r="Z436" s="3"/>
      <c r="AA436" s="3"/>
      <c r="AB436" s="5"/>
      <c r="AC436" s="5"/>
      <c r="AD436" s="28"/>
      <c r="AE436" s="28"/>
      <c r="AF436" s="3"/>
      <c r="AG436" s="7"/>
      <c r="AH436" s="7"/>
      <c r="AI436" s="3" t="s">
        <v>107</v>
      </c>
      <c r="AJ436" s="7" t="s">
        <v>68</v>
      </c>
      <c r="AK436" s="3"/>
      <c r="AL436" cm="1">
        <f t="array" ref="AL436">IF(getColor(V436) = 16777215, 0, 1)</f>
        <v>0</v>
      </c>
    </row>
    <row r="437" spans="1:38">
      <c r="A437" s="1">
        <v>436</v>
      </c>
      <c r="B437" s="3" t="s">
        <v>27</v>
      </c>
      <c r="C437" s="7" t="s">
        <v>264</v>
      </c>
      <c r="D437" s="7" t="s">
        <v>145</v>
      </c>
      <c r="E437" s="8">
        <v>55.48746666666667</v>
      </c>
      <c r="F437" s="8">
        <v>-132.64579999999998</v>
      </c>
      <c r="G437" s="9" t="s">
        <v>30</v>
      </c>
      <c r="H437" s="3" t="s">
        <v>31</v>
      </c>
      <c r="I437" s="3" t="s">
        <v>31</v>
      </c>
      <c r="J437" s="3" t="s">
        <v>31</v>
      </c>
      <c r="K437" s="7" t="s">
        <v>53</v>
      </c>
      <c r="L437" s="9">
        <v>20</v>
      </c>
      <c r="M437" s="9">
        <v>0</v>
      </c>
      <c r="N437" s="9">
        <f t="shared" si="37"/>
        <v>20</v>
      </c>
      <c r="O437" s="29">
        <f>M439</f>
        <v>5</v>
      </c>
      <c r="P437" s="29">
        <f>L437</f>
        <v>20</v>
      </c>
      <c r="Q437" s="29">
        <f>P437+O437</f>
        <v>25</v>
      </c>
      <c r="R437" s="11">
        <v>0</v>
      </c>
      <c r="S437" s="1">
        <v>0.11</v>
      </c>
      <c r="T437" s="1">
        <f t="shared" si="38"/>
        <v>0.11</v>
      </c>
      <c r="U437" s="12">
        <v>0</v>
      </c>
      <c r="V437" s="13">
        <v>34.621586999999998</v>
      </c>
      <c r="W437" s="14">
        <f t="shared" si="39"/>
        <v>7616.7491399999999</v>
      </c>
      <c r="X437" s="14">
        <f>SUM(W437:W439)</f>
        <v>10223.713019520001</v>
      </c>
      <c r="Y437" s="14">
        <f t="shared" si="40"/>
        <v>7616.7491399999999</v>
      </c>
      <c r="Z437" s="15">
        <f>SUM(Y437:Y439)/10^6*10^4</f>
        <v>102.23713019520001</v>
      </c>
      <c r="AA437" s="16">
        <v>37.512374980867186</v>
      </c>
      <c r="AB437" s="5"/>
      <c r="AC437" s="1"/>
      <c r="AD437" s="28"/>
      <c r="AE437" s="28"/>
      <c r="AF437" s="3"/>
      <c r="AG437" s="7"/>
      <c r="AH437" s="7"/>
      <c r="AI437" s="3" t="s">
        <v>146</v>
      </c>
      <c r="AJ437" s="7" t="s">
        <v>53</v>
      </c>
      <c r="AK437" s="3"/>
      <c r="AL437" cm="1">
        <f t="array" ref="AL437">IF(getColor(V437) = 16777215, 0, 1)</f>
        <v>0</v>
      </c>
    </row>
    <row r="438" spans="1:38">
      <c r="A438" s="1">
        <v>437</v>
      </c>
      <c r="B438" s="3" t="s">
        <v>27</v>
      </c>
      <c r="C438" s="7" t="s">
        <v>264</v>
      </c>
      <c r="D438" s="7" t="s">
        <v>145</v>
      </c>
      <c r="E438" s="8">
        <v>55.48746666666667</v>
      </c>
      <c r="F438" s="8">
        <v>-132.64579999999998</v>
      </c>
      <c r="G438" s="9" t="s">
        <v>30</v>
      </c>
      <c r="H438" s="3" t="s">
        <v>31</v>
      </c>
      <c r="I438" s="3" t="s">
        <v>31</v>
      </c>
      <c r="J438" s="3" t="s">
        <v>31</v>
      </c>
      <c r="K438" s="7" t="s">
        <v>47</v>
      </c>
      <c r="L438" s="9">
        <v>0</v>
      </c>
      <c r="M438" s="9">
        <v>2</v>
      </c>
      <c r="N438" s="9">
        <f t="shared" si="37"/>
        <v>2</v>
      </c>
      <c r="O438" s="9"/>
      <c r="P438" s="9"/>
      <c r="Q438" s="25"/>
      <c r="R438" s="11">
        <v>0</v>
      </c>
      <c r="S438" s="1">
        <v>0.93</v>
      </c>
      <c r="T438" s="1">
        <f t="shared" si="38"/>
        <v>0.93</v>
      </c>
      <c r="U438" s="12">
        <v>1</v>
      </c>
      <c r="V438" s="13">
        <v>4.0720679999999998</v>
      </c>
      <c r="W438" s="14">
        <f t="shared" si="39"/>
        <v>749.83060152000007</v>
      </c>
      <c r="X438" s="25"/>
      <c r="Y438" s="14">
        <f t="shared" si="40"/>
        <v>749.83060152000007</v>
      </c>
      <c r="Z438" s="3"/>
      <c r="AA438" s="3"/>
      <c r="AB438" s="5"/>
      <c r="AC438" s="5"/>
      <c r="AD438" s="28"/>
      <c r="AE438" s="28"/>
      <c r="AF438" s="3"/>
      <c r="AG438" s="7"/>
      <c r="AH438" s="7"/>
      <c r="AI438" s="3" t="s">
        <v>146</v>
      </c>
      <c r="AJ438" s="7" t="s">
        <v>47</v>
      </c>
      <c r="AK438" s="3"/>
      <c r="AL438" cm="1">
        <f t="array" ref="AL438">IF(getColor(V438) = 16777215, 0, 1)</f>
        <v>0</v>
      </c>
    </row>
    <row r="439" spans="1:38">
      <c r="A439" s="1">
        <v>438</v>
      </c>
      <c r="B439" s="3" t="s">
        <v>27</v>
      </c>
      <c r="C439" s="7" t="s">
        <v>264</v>
      </c>
      <c r="D439" s="7" t="s">
        <v>145</v>
      </c>
      <c r="E439" s="8">
        <v>55.48746666666667</v>
      </c>
      <c r="F439" s="8">
        <v>-132.64579999999998</v>
      </c>
      <c r="G439" s="9" t="s">
        <v>30</v>
      </c>
      <c r="H439" s="3" t="s">
        <v>31</v>
      </c>
      <c r="I439" s="3" t="s">
        <v>31</v>
      </c>
      <c r="J439" s="3" t="s">
        <v>31</v>
      </c>
      <c r="K439" s="7" t="s">
        <v>77</v>
      </c>
      <c r="L439" s="9">
        <v>2</v>
      </c>
      <c r="M439" s="9">
        <v>5</v>
      </c>
      <c r="N439" s="9">
        <f t="shared" si="37"/>
        <v>3</v>
      </c>
      <c r="O439" s="9"/>
      <c r="P439" s="9"/>
      <c r="Q439" s="25"/>
      <c r="R439" s="11">
        <v>0</v>
      </c>
      <c r="S439" s="1">
        <v>0.86</v>
      </c>
      <c r="T439" s="1">
        <f t="shared" si="38"/>
        <v>0.86</v>
      </c>
      <c r="U439" s="12">
        <v>15</v>
      </c>
      <c r="V439" s="13">
        <v>8.4684600000000003</v>
      </c>
      <c r="W439" s="14">
        <f t="shared" si="39"/>
        <v>1857.1332780000005</v>
      </c>
      <c r="X439" s="25"/>
      <c r="Y439" s="14">
        <f t="shared" si="40"/>
        <v>1857.1332780000005</v>
      </c>
      <c r="Z439" s="3"/>
      <c r="AA439" s="3"/>
      <c r="AB439" s="5"/>
      <c r="AC439" s="1"/>
      <c r="AD439" s="28"/>
      <c r="AE439" s="28"/>
      <c r="AF439" s="3"/>
      <c r="AG439" s="7"/>
      <c r="AH439" s="7"/>
      <c r="AI439" s="3" t="s">
        <v>146</v>
      </c>
      <c r="AJ439" s="7" t="s">
        <v>78</v>
      </c>
      <c r="AK439" s="3"/>
      <c r="AL439" cm="1">
        <f t="array" ref="AL439">IF(getColor(V439) = 16777215, 0, 1)</f>
        <v>0</v>
      </c>
    </row>
    <row r="440" spans="1:38">
      <c r="A440" s="1">
        <v>439</v>
      </c>
      <c r="B440" s="3" t="s">
        <v>27</v>
      </c>
      <c r="C440" s="7" t="s">
        <v>265</v>
      </c>
      <c r="D440" s="7" t="s">
        <v>266</v>
      </c>
      <c r="E440" s="8">
        <v>55.48746666666667</v>
      </c>
      <c r="F440" s="8">
        <v>-132.64579999999998</v>
      </c>
      <c r="G440" s="9" t="s">
        <v>30</v>
      </c>
      <c r="H440" s="3" t="s">
        <v>31</v>
      </c>
      <c r="I440" s="3" t="s">
        <v>31</v>
      </c>
      <c r="J440" s="3" t="s">
        <v>31</v>
      </c>
      <c r="K440" s="7" t="s">
        <v>51</v>
      </c>
      <c r="L440" s="9">
        <v>23</v>
      </c>
      <c r="M440" s="9">
        <v>0</v>
      </c>
      <c r="N440" s="9">
        <f t="shared" si="37"/>
        <v>23</v>
      </c>
      <c r="O440" s="29">
        <f>M444</f>
        <v>20</v>
      </c>
      <c r="P440" s="29">
        <f>L440</f>
        <v>23</v>
      </c>
      <c r="Q440" s="29">
        <f>P440+O440</f>
        <v>43</v>
      </c>
      <c r="R440" s="11">
        <v>0</v>
      </c>
      <c r="S440" s="1">
        <v>0.12</v>
      </c>
      <c r="T440" s="1">
        <f t="shared" si="38"/>
        <v>0.12</v>
      </c>
      <c r="U440" s="12">
        <v>0</v>
      </c>
      <c r="V440" s="13">
        <v>34.362145000000005</v>
      </c>
      <c r="W440" s="14">
        <f t="shared" si="39"/>
        <v>9483.9520200000006</v>
      </c>
      <c r="X440" s="14">
        <f>SUM(W440:W444)</f>
        <v>15260.361447300002</v>
      </c>
      <c r="Y440" s="14">
        <f t="shared" si="40"/>
        <v>9483.9520200000006</v>
      </c>
      <c r="Z440" s="15">
        <f>SUM(Y440:Y444)/10^6*10^4</f>
        <v>152.60361447300002</v>
      </c>
      <c r="AA440" s="16">
        <v>57.866216325657291</v>
      </c>
      <c r="AB440" s="5"/>
      <c r="AC440" s="1"/>
      <c r="AD440" s="28"/>
      <c r="AE440" s="28"/>
      <c r="AF440" s="3"/>
      <c r="AG440" s="7"/>
      <c r="AH440" s="7"/>
      <c r="AI440" s="3" t="s">
        <v>107</v>
      </c>
      <c r="AJ440" s="7" t="s">
        <v>67</v>
      </c>
      <c r="AK440" s="3"/>
      <c r="AL440" cm="1">
        <f t="array" ref="AL440">IF(getColor(V440) = 16777215, 0, 1)</f>
        <v>0</v>
      </c>
    </row>
    <row r="441" spans="1:38">
      <c r="A441" s="1">
        <v>440</v>
      </c>
      <c r="B441" s="3" t="s">
        <v>27</v>
      </c>
      <c r="C441" s="7" t="s">
        <v>265</v>
      </c>
      <c r="D441" s="7" t="s">
        <v>266</v>
      </c>
      <c r="E441" s="8">
        <v>55.48746666666667</v>
      </c>
      <c r="F441" s="8">
        <v>-132.64579999999998</v>
      </c>
      <c r="G441" s="9" t="s">
        <v>30</v>
      </c>
      <c r="H441" s="3" t="s">
        <v>31</v>
      </c>
      <c r="I441" s="3" t="s">
        <v>31</v>
      </c>
      <c r="J441" s="3" t="s">
        <v>31</v>
      </c>
      <c r="K441" s="7" t="s">
        <v>47</v>
      </c>
      <c r="L441" s="9">
        <v>0</v>
      </c>
      <c r="M441" s="9">
        <v>3</v>
      </c>
      <c r="N441" s="9">
        <f t="shared" si="37"/>
        <v>3</v>
      </c>
      <c r="O441" s="9"/>
      <c r="P441" s="9"/>
      <c r="Q441" s="25"/>
      <c r="R441" s="11">
        <v>0</v>
      </c>
      <c r="S441" s="1">
        <v>0.93</v>
      </c>
      <c r="T441" s="1">
        <f t="shared" si="38"/>
        <v>0.93</v>
      </c>
      <c r="U441" s="12">
        <v>9</v>
      </c>
      <c r="V441" s="13">
        <v>4.7695700000000008</v>
      </c>
      <c r="W441" s="14">
        <f t="shared" si="39"/>
        <v>1210.9461273000002</v>
      </c>
      <c r="X441" s="25"/>
      <c r="Y441" s="14">
        <f t="shared" si="40"/>
        <v>1210.9461273000002</v>
      </c>
      <c r="Z441" s="3"/>
      <c r="AA441" s="3"/>
      <c r="AB441" s="5"/>
      <c r="AC441" s="5"/>
      <c r="AD441" s="28"/>
      <c r="AE441" s="28"/>
      <c r="AF441" s="3"/>
      <c r="AG441" s="7"/>
      <c r="AH441" s="7"/>
      <c r="AI441" s="3" t="s">
        <v>107</v>
      </c>
      <c r="AJ441" s="7" t="s">
        <v>47</v>
      </c>
      <c r="AK441" s="3"/>
      <c r="AL441" cm="1">
        <f t="array" ref="AL441">IF(getColor(V441) = 16777215, 0, 1)</f>
        <v>0</v>
      </c>
    </row>
    <row r="442" spans="1:38">
      <c r="A442" s="1">
        <v>441</v>
      </c>
      <c r="B442" s="3" t="s">
        <v>27</v>
      </c>
      <c r="C442" s="7" t="s">
        <v>265</v>
      </c>
      <c r="D442" s="7" t="s">
        <v>266</v>
      </c>
      <c r="E442" s="8">
        <v>55.48746666666667</v>
      </c>
      <c r="F442" s="8">
        <v>-132.64579999999998</v>
      </c>
      <c r="G442" s="9" t="s">
        <v>30</v>
      </c>
      <c r="H442" s="3" t="s">
        <v>31</v>
      </c>
      <c r="I442" s="3" t="s">
        <v>31</v>
      </c>
      <c r="J442" s="3" t="s">
        <v>31</v>
      </c>
      <c r="K442" s="7" t="s">
        <v>77</v>
      </c>
      <c r="L442" s="9">
        <v>3</v>
      </c>
      <c r="M442" s="9">
        <v>10</v>
      </c>
      <c r="N442" s="9">
        <f t="shared" si="37"/>
        <v>7</v>
      </c>
      <c r="O442" s="9"/>
      <c r="P442" s="9"/>
      <c r="Q442" s="25"/>
      <c r="R442" s="11">
        <v>0</v>
      </c>
      <c r="S442" s="1">
        <v>0.86</v>
      </c>
      <c r="T442" s="1">
        <f t="shared" si="38"/>
        <v>0.86</v>
      </c>
      <c r="U442" s="12">
        <v>20</v>
      </c>
      <c r="V442" s="13">
        <v>5.9088600000000007</v>
      </c>
      <c r="W442" s="14">
        <f t="shared" si="39"/>
        <v>2845.7069760000009</v>
      </c>
      <c r="X442" s="25"/>
      <c r="Y442" s="14">
        <f t="shared" si="40"/>
        <v>2845.7069760000009</v>
      </c>
      <c r="Z442" s="3"/>
      <c r="AA442" s="3"/>
      <c r="AB442" s="5"/>
      <c r="AC442" s="1"/>
      <c r="AD442" s="28"/>
      <c r="AE442" s="28"/>
      <c r="AF442" s="3"/>
      <c r="AG442" s="7"/>
      <c r="AH442" s="7"/>
      <c r="AI442" s="3" t="s">
        <v>107</v>
      </c>
      <c r="AJ442" s="7" t="s">
        <v>78</v>
      </c>
      <c r="AK442" s="3"/>
      <c r="AL442" cm="1">
        <f t="array" ref="AL442">IF(getColor(V442) = 16777215, 0, 1)</f>
        <v>0</v>
      </c>
    </row>
    <row r="443" spans="1:38">
      <c r="A443" s="1">
        <v>442</v>
      </c>
      <c r="B443" s="3" t="s">
        <v>27</v>
      </c>
      <c r="C443" s="7" t="s">
        <v>265</v>
      </c>
      <c r="D443" s="7" t="s">
        <v>266</v>
      </c>
      <c r="E443" s="8">
        <v>55.48746666666667</v>
      </c>
      <c r="F443" s="8">
        <v>-132.64579999999998</v>
      </c>
      <c r="G443" s="9" t="s">
        <v>30</v>
      </c>
      <c r="H443" s="3" t="s">
        <v>31</v>
      </c>
      <c r="I443" s="3" t="s">
        <v>31</v>
      </c>
      <c r="J443" s="3" t="s">
        <v>31</v>
      </c>
      <c r="K443" s="7" t="s">
        <v>41</v>
      </c>
      <c r="L443" s="9">
        <v>10</v>
      </c>
      <c r="M443" s="9">
        <v>20</v>
      </c>
      <c r="N443" s="9">
        <f t="shared" si="37"/>
        <v>10</v>
      </c>
      <c r="O443" s="9"/>
      <c r="P443" s="9"/>
      <c r="Q443" s="25"/>
      <c r="R443" s="11">
        <v>0</v>
      </c>
      <c r="S443" s="1">
        <v>1.17</v>
      </c>
      <c r="T443" s="1">
        <f t="shared" si="38"/>
        <v>1.17</v>
      </c>
      <c r="U443" s="12">
        <v>56</v>
      </c>
      <c r="V443" s="13">
        <v>3.34063</v>
      </c>
      <c r="W443" s="14">
        <f t="shared" si="39"/>
        <v>1719.7563239999999</v>
      </c>
      <c r="X443" s="25"/>
      <c r="Y443" s="14">
        <f t="shared" si="40"/>
        <v>1719.7563239999999</v>
      </c>
      <c r="Z443" s="3"/>
      <c r="AA443" s="3"/>
      <c r="AB443" s="5"/>
      <c r="AC443" s="1"/>
      <c r="AD443" s="28"/>
      <c r="AE443" s="28"/>
      <c r="AF443" s="3"/>
      <c r="AG443" s="7"/>
      <c r="AH443" s="7"/>
      <c r="AI443" s="3" t="s">
        <v>107</v>
      </c>
      <c r="AJ443" s="7" t="s">
        <v>61</v>
      </c>
      <c r="AK443" s="3"/>
      <c r="AL443" cm="1">
        <f t="array" ref="AL443">IF(getColor(V443) = 16777215, 0, 1)</f>
        <v>0</v>
      </c>
    </row>
    <row r="444" spans="1:38">
      <c r="A444" s="1">
        <v>443</v>
      </c>
      <c r="B444" s="3" t="s">
        <v>27</v>
      </c>
      <c r="C444" s="7" t="s">
        <v>265</v>
      </c>
      <c r="D444" s="7" t="s">
        <v>266</v>
      </c>
      <c r="E444" s="8">
        <v>55.48746666666667</v>
      </c>
      <c r="F444" s="8">
        <v>-132.64579999999998</v>
      </c>
      <c r="G444" s="9" t="s">
        <v>30</v>
      </c>
      <c r="H444" s="3" t="s">
        <v>31</v>
      </c>
      <c r="I444" s="3" t="s">
        <v>31</v>
      </c>
      <c r="J444" s="3" t="s">
        <v>31</v>
      </c>
      <c r="K444" s="7" t="s">
        <v>137</v>
      </c>
      <c r="L444" s="9">
        <v>20</v>
      </c>
      <c r="M444" s="9">
        <v>20</v>
      </c>
      <c r="N444" s="9">
        <f t="shared" si="37"/>
        <v>0</v>
      </c>
      <c r="O444" s="9"/>
      <c r="P444" s="9"/>
      <c r="Q444" s="25"/>
      <c r="R444" s="11">
        <v>0</v>
      </c>
      <c r="S444" s="1">
        <v>1.74</v>
      </c>
      <c r="T444" s="1">
        <f t="shared" si="38"/>
        <v>1.74</v>
      </c>
      <c r="U444" s="12">
        <v>62</v>
      </c>
      <c r="V444" s="13">
        <v>2.9640849999999999</v>
      </c>
      <c r="W444" s="14">
        <f t="shared" si="39"/>
        <v>0</v>
      </c>
      <c r="X444" s="25"/>
      <c r="Y444" s="14">
        <f t="shared" si="40"/>
        <v>0</v>
      </c>
      <c r="Z444" s="3"/>
      <c r="AA444" s="3"/>
      <c r="AB444" s="5"/>
      <c r="AC444" s="1"/>
      <c r="AD444" s="28"/>
      <c r="AE444" s="28"/>
      <c r="AF444" s="3"/>
      <c r="AG444" s="7"/>
      <c r="AH444" s="7"/>
      <c r="AI444" s="3" t="s">
        <v>107</v>
      </c>
      <c r="AJ444" s="7" t="s">
        <v>137</v>
      </c>
      <c r="AK444" s="3"/>
      <c r="AL444" cm="1">
        <f t="array" ref="AL444">IF(getColor(V444) = 16777215, 0, 1)</f>
        <v>0</v>
      </c>
    </row>
    <row r="445" spans="1:38">
      <c r="A445" s="1">
        <v>444</v>
      </c>
      <c r="B445" s="3" t="s">
        <v>27</v>
      </c>
      <c r="C445" s="7" t="s">
        <v>267</v>
      </c>
      <c r="D445" s="7" t="s">
        <v>126</v>
      </c>
      <c r="E445" s="8">
        <v>55.48746666666667</v>
      </c>
      <c r="F445" s="8">
        <v>-132.64579999999998</v>
      </c>
      <c r="G445" s="9" t="s">
        <v>30</v>
      </c>
      <c r="H445" s="3" t="s">
        <v>31</v>
      </c>
      <c r="I445" s="3" t="s">
        <v>31</v>
      </c>
      <c r="J445" s="3" t="s">
        <v>31</v>
      </c>
      <c r="K445" s="7" t="s">
        <v>52</v>
      </c>
      <c r="L445" s="9">
        <v>18</v>
      </c>
      <c r="M445" s="9">
        <v>0</v>
      </c>
      <c r="N445" s="9">
        <f t="shared" si="37"/>
        <v>18</v>
      </c>
      <c r="O445" s="29">
        <f>M447</f>
        <v>15</v>
      </c>
      <c r="P445" s="29">
        <f>L445</f>
        <v>18</v>
      </c>
      <c r="Q445" s="29">
        <f>P445+O445</f>
        <v>33</v>
      </c>
      <c r="R445" s="11">
        <v>0</v>
      </c>
      <c r="S445" s="1">
        <v>0.15</v>
      </c>
      <c r="T445" s="1">
        <f t="shared" si="38"/>
        <v>0.15</v>
      </c>
      <c r="U445" s="12">
        <v>0</v>
      </c>
      <c r="V445" s="13">
        <v>36.196595000000002</v>
      </c>
      <c r="W445" s="14">
        <f t="shared" si="39"/>
        <v>9773.0806500000017</v>
      </c>
      <c r="X445" s="14">
        <f>SUM(W445:W447)</f>
        <v>19012.838892750002</v>
      </c>
      <c r="Y445" s="14">
        <f t="shared" si="40"/>
        <v>9773.0806500000017</v>
      </c>
      <c r="Z445" s="15">
        <f>SUM(Y445:Y447)/10^6*10^4</f>
        <v>190.12838892750003</v>
      </c>
      <c r="AA445" s="16">
        <v>49.11984239385211</v>
      </c>
      <c r="AB445" s="5"/>
      <c r="AC445" s="1"/>
      <c r="AD445" s="28"/>
      <c r="AE445" s="28"/>
      <c r="AF445" s="3"/>
      <c r="AG445" s="7"/>
      <c r="AH445" s="7"/>
      <c r="AI445" s="3" t="s">
        <v>75</v>
      </c>
      <c r="AJ445" s="7" t="s">
        <v>76</v>
      </c>
      <c r="AK445" s="3"/>
      <c r="AL445" cm="1">
        <f t="array" ref="AL445">IF(getColor(V445) = 16777215, 0, 1)</f>
        <v>0</v>
      </c>
    </row>
    <row r="446" spans="1:38">
      <c r="A446" s="1">
        <v>445</v>
      </c>
      <c r="B446" s="3" t="s">
        <v>27</v>
      </c>
      <c r="C446" s="7" t="s">
        <v>267</v>
      </c>
      <c r="D446" s="7" t="s">
        <v>126</v>
      </c>
      <c r="E446" s="8">
        <v>55.48746666666667</v>
      </c>
      <c r="F446" s="8">
        <v>-132.64579999999998</v>
      </c>
      <c r="G446" s="9" t="s">
        <v>30</v>
      </c>
      <c r="H446" s="3" t="s">
        <v>31</v>
      </c>
      <c r="I446" s="3" t="s">
        <v>31</v>
      </c>
      <c r="J446" s="3" t="s">
        <v>31</v>
      </c>
      <c r="K446" s="7" t="s">
        <v>77</v>
      </c>
      <c r="L446" s="9">
        <v>0</v>
      </c>
      <c r="M446" s="9">
        <v>15</v>
      </c>
      <c r="N446" s="9">
        <f t="shared" si="37"/>
        <v>15</v>
      </c>
      <c r="O446" s="9"/>
      <c r="P446" s="9"/>
      <c r="Q446" s="25"/>
      <c r="R446" s="11">
        <v>0</v>
      </c>
      <c r="S446" s="1">
        <v>1.19</v>
      </c>
      <c r="T446" s="1">
        <f t="shared" si="38"/>
        <v>1.19</v>
      </c>
      <c r="U446" s="12">
        <v>37</v>
      </c>
      <c r="V446" s="13">
        <v>8.216405</v>
      </c>
      <c r="W446" s="14">
        <f t="shared" si="39"/>
        <v>9239.7582427500001</v>
      </c>
      <c r="X446" s="25"/>
      <c r="Y446" s="14">
        <f t="shared" si="40"/>
        <v>9239.7582427500001</v>
      </c>
      <c r="Z446" s="3"/>
      <c r="AA446" s="3"/>
      <c r="AB446" s="5"/>
      <c r="AC446" s="5"/>
      <c r="AD446" s="28"/>
      <c r="AE446" s="28"/>
      <c r="AF446" s="3"/>
      <c r="AG446" s="7"/>
      <c r="AH446" s="7"/>
      <c r="AI446" s="3" t="s">
        <v>75</v>
      </c>
      <c r="AJ446" s="7" t="s">
        <v>78</v>
      </c>
      <c r="AK446" s="3"/>
      <c r="AL446" cm="1">
        <f t="array" ref="AL446">IF(getColor(V446) = 16777215, 0, 1)</f>
        <v>0</v>
      </c>
    </row>
    <row r="447" spans="1:38">
      <c r="A447" s="1">
        <v>446</v>
      </c>
      <c r="B447" s="3" t="s">
        <v>27</v>
      </c>
      <c r="C447" s="7" t="s">
        <v>267</v>
      </c>
      <c r="D447" s="7" t="s">
        <v>126</v>
      </c>
      <c r="E447" s="8">
        <v>55.48746666666667</v>
      </c>
      <c r="F447" s="8">
        <v>-132.64579999999998</v>
      </c>
      <c r="G447" s="9" t="s">
        <v>30</v>
      </c>
      <c r="H447" s="3" t="s">
        <v>31</v>
      </c>
      <c r="I447" s="3" t="s">
        <v>31</v>
      </c>
      <c r="J447" s="3" t="s">
        <v>31</v>
      </c>
      <c r="K447" s="7" t="s">
        <v>137</v>
      </c>
      <c r="L447" s="9">
        <v>15</v>
      </c>
      <c r="M447" s="9">
        <v>15</v>
      </c>
      <c r="N447" s="9">
        <f t="shared" si="37"/>
        <v>0</v>
      </c>
      <c r="O447" s="9"/>
      <c r="P447" s="9"/>
      <c r="Q447" s="25"/>
      <c r="R447" s="11">
        <v>0</v>
      </c>
      <c r="S447" s="1">
        <v>1.91</v>
      </c>
      <c r="T447" s="1">
        <f t="shared" si="38"/>
        <v>1.91</v>
      </c>
      <c r="U447" s="12">
        <v>44</v>
      </c>
      <c r="V447" s="13">
        <v>3.0896000000000003</v>
      </c>
      <c r="W447" s="14">
        <f t="shared" si="39"/>
        <v>0</v>
      </c>
      <c r="X447" s="25"/>
      <c r="Y447" s="14">
        <f t="shared" si="40"/>
        <v>0</v>
      </c>
      <c r="Z447" s="3"/>
      <c r="AA447" s="3"/>
      <c r="AB447" s="5"/>
      <c r="AC447" s="1"/>
      <c r="AD447" s="28"/>
      <c r="AE447" s="28"/>
      <c r="AF447" s="3"/>
      <c r="AG447" s="7"/>
      <c r="AH447" s="7"/>
      <c r="AI447" s="3" t="s">
        <v>75</v>
      </c>
      <c r="AJ447" s="7" t="s">
        <v>137</v>
      </c>
      <c r="AK447" s="3"/>
      <c r="AL447" cm="1">
        <f t="array" ref="AL447">IF(getColor(V447) = 16777215, 0, 1)</f>
        <v>0</v>
      </c>
    </row>
    <row r="448" spans="1:38">
      <c r="A448" s="1">
        <v>447</v>
      </c>
      <c r="B448" s="3" t="s">
        <v>27</v>
      </c>
      <c r="C448" s="7" t="s">
        <v>268</v>
      </c>
      <c r="D448" s="7" t="s">
        <v>145</v>
      </c>
      <c r="E448" s="8">
        <v>55.48746666666667</v>
      </c>
      <c r="F448" s="8">
        <v>-132.64579999999998</v>
      </c>
      <c r="G448" s="9" t="s">
        <v>30</v>
      </c>
      <c r="H448" s="3" t="s">
        <v>31</v>
      </c>
      <c r="I448" s="3" t="s">
        <v>31</v>
      </c>
      <c r="J448" s="3" t="s">
        <v>31</v>
      </c>
      <c r="K448" s="7" t="s">
        <v>51</v>
      </c>
      <c r="L448" s="9">
        <v>15</v>
      </c>
      <c r="M448" s="9">
        <v>0</v>
      </c>
      <c r="N448" s="9">
        <f t="shared" si="37"/>
        <v>15</v>
      </c>
      <c r="O448" s="29">
        <f>M450</f>
        <v>10</v>
      </c>
      <c r="P448" s="29">
        <f>L448</f>
        <v>15</v>
      </c>
      <c r="Q448" s="29">
        <f>P448+O448</f>
        <v>25</v>
      </c>
      <c r="R448" s="11">
        <v>0</v>
      </c>
      <c r="S448" s="1">
        <v>0.12</v>
      </c>
      <c r="T448" s="1">
        <f t="shared" si="38"/>
        <v>0.12</v>
      </c>
      <c r="U448" s="12">
        <v>0</v>
      </c>
      <c r="V448" s="13">
        <v>28.369340999999999</v>
      </c>
      <c r="W448" s="14">
        <f t="shared" si="39"/>
        <v>5106.4813799999993</v>
      </c>
      <c r="X448" s="14">
        <f>SUM(W448:W450)</f>
        <v>8206.0422443999996</v>
      </c>
      <c r="Y448" s="14">
        <f t="shared" si="40"/>
        <v>5106.4813799999993</v>
      </c>
      <c r="Z448" s="15">
        <f>SUM(Y448:Y450)/10^6*10^4</f>
        <v>82.060422444000011</v>
      </c>
      <c r="AA448" s="16">
        <v>28.175128238602127</v>
      </c>
      <c r="AB448" s="5"/>
      <c r="AC448" s="1"/>
      <c r="AD448" s="28"/>
      <c r="AE448" s="28"/>
      <c r="AF448" s="3"/>
      <c r="AG448" s="7"/>
      <c r="AH448" s="7"/>
      <c r="AI448" s="3" t="s">
        <v>146</v>
      </c>
      <c r="AJ448" s="7" t="s">
        <v>67</v>
      </c>
      <c r="AK448" s="3"/>
      <c r="AL448" cm="1">
        <f t="array" ref="AL448">IF(getColor(V448) = 16777215, 0, 1)</f>
        <v>0</v>
      </c>
    </row>
    <row r="449" spans="1:38">
      <c r="A449" s="1">
        <v>448</v>
      </c>
      <c r="B449" s="3" t="s">
        <v>27</v>
      </c>
      <c r="C449" s="7" t="s">
        <v>268</v>
      </c>
      <c r="D449" s="7" t="s">
        <v>145</v>
      </c>
      <c r="E449" s="8">
        <v>55.48746666666667</v>
      </c>
      <c r="F449" s="8">
        <v>-132.64579999999998</v>
      </c>
      <c r="G449" s="9" t="s">
        <v>30</v>
      </c>
      <c r="H449" s="3" t="s">
        <v>31</v>
      </c>
      <c r="I449" s="3" t="s">
        <v>31</v>
      </c>
      <c r="J449" s="3" t="s">
        <v>31</v>
      </c>
      <c r="K449" s="7" t="s">
        <v>77</v>
      </c>
      <c r="L449" s="9">
        <v>0</v>
      </c>
      <c r="M449" s="9">
        <v>10</v>
      </c>
      <c r="N449" s="9">
        <f t="shared" si="37"/>
        <v>10</v>
      </c>
      <c r="O449" s="9"/>
      <c r="P449" s="9"/>
      <c r="Q449" s="25"/>
      <c r="R449" s="11">
        <v>0</v>
      </c>
      <c r="S449" s="1">
        <v>0.86</v>
      </c>
      <c r="T449" s="1">
        <f t="shared" si="38"/>
        <v>0.86</v>
      </c>
      <c r="U449" s="12">
        <v>17</v>
      </c>
      <c r="V449" s="13">
        <v>4.3423380000000007</v>
      </c>
      <c r="W449" s="14">
        <f t="shared" si="39"/>
        <v>3099.5608644000004</v>
      </c>
      <c r="X449" s="25"/>
      <c r="Y449" s="14">
        <f t="shared" si="40"/>
        <v>3099.5608644000004</v>
      </c>
      <c r="Z449" s="3"/>
      <c r="AA449" s="11"/>
      <c r="AB449" s="5"/>
      <c r="AC449" s="5"/>
      <c r="AD449" s="28"/>
      <c r="AE449" s="28"/>
      <c r="AF449" s="3"/>
      <c r="AG449" s="7"/>
      <c r="AH449" s="7"/>
      <c r="AI449" s="3" t="s">
        <v>146</v>
      </c>
      <c r="AJ449" s="7" t="s">
        <v>78</v>
      </c>
      <c r="AK449" s="3"/>
      <c r="AL449" cm="1">
        <f t="array" ref="AL449">IF(getColor(V449) = 16777215, 0, 1)</f>
        <v>0</v>
      </c>
    </row>
    <row r="450" spans="1:38">
      <c r="A450" s="1">
        <v>449</v>
      </c>
      <c r="B450" s="3" t="s">
        <v>27</v>
      </c>
      <c r="C450" s="7" t="s">
        <v>268</v>
      </c>
      <c r="D450" s="7" t="s">
        <v>145</v>
      </c>
      <c r="E450" s="8">
        <v>55.48746666666667</v>
      </c>
      <c r="F450" s="8">
        <v>-132.64579999999998</v>
      </c>
      <c r="G450" s="9" t="s">
        <v>30</v>
      </c>
      <c r="H450" s="3" t="s">
        <v>31</v>
      </c>
      <c r="I450" s="3" t="s">
        <v>31</v>
      </c>
      <c r="J450" s="3" t="s">
        <v>31</v>
      </c>
      <c r="K450" s="7" t="s">
        <v>137</v>
      </c>
      <c r="L450" s="9">
        <v>10</v>
      </c>
      <c r="M450" s="9">
        <v>10</v>
      </c>
      <c r="N450" s="9">
        <f t="shared" ref="N450:N513" si="41">ABS(M450-L450)</f>
        <v>0</v>
      </c>
      <c r="O450" s="9"/>
      <c r="P450" s="9"/>
      <c r="Q450" s="25"/>
      <c r="R450" s="11">
        <v>0</v>
      </c>
      <c r="S450" s="1">
        <v>1.74</v>
      </c>
      <c r="T450" s="1">
        <f t="shared" ref="T450:T513" si="42">IF(R450=0,S450,R450)</f>
        <v>1.74</v>
      </c>
      <c r="U450" s="12">
        <v>20</v>
      </c>
      <c r="V450" s="13">
        <v>3.4144110000000003</v>
      </c>
      <c r="W450" s="14">
        <f t="shared" si="39"/>
        <v>0</v>
      </c>
      <c r="X450" s="25"/>
      <c r="Y450" s="14">
        <f t="shared" si="40"/>
        <v>0</v>
      </c>
      <c r="Z450" s="3"/>
      <c r="AA450" s="11"/>
      <c r="AB450" s="5"/>
      <c r="AC450" s="5"/>
      <c r="AD450" s="28"/>
      <c r="AE450" s="28"/>
      <c r="AF450" s="3"/>
      <c r="AG450" s="7"/>
      <c r="AH450" s="7"/>
      <c r="AI450" s="3" t="s">
        <v>146</v>
      </c>
      <c r="AJ450" s="7" t="s">
        <v>137</v>
      </c>
      <c r="AK450" s="3"/>
      <c r="AL450" cm="1">
        <f t="array" ref="AL450">IF(getColor(V450) = 16777215, 0, 1)</f>
        <v>0</v>
      </c>
    </row>
    <row r="451" spans="1:38">
      <c r="A451" s="1">
        <v>450</v>
      </c>
      <c r="B451" s="3" t="s">
        <v>27</v>
      </c>
      <c r="C451" s="7" t="s">
        <v>269</v>
      </c>
      <c r="D451" s="7" t="s">
        <v>270</v>
      </c>
      <c r="E451" s="8">
        <v>55.48746666666667</v>
      </c>
      <c r="F451" s="8">
        <v>-132.64579999999998</v>
      </c>
      <c r="G451" s="9" t="s">
        <v>30</v>
      </c>
      <c r="H451" s="3" t="s">
        <v>31</v>
      </c>
      <c r="I451" s="3" t="s">
        <v>31</v>
      </c>
      <c r="J451" s="3" t="s">
        <v>31</v>
      </c>
      <c r="K451" s="7" t="s">
        <v>49</v>
      </c>
      <c r="L451" s="9">
        <v>20</v>
      </c>
      <c r="M451" s="9">
        <v>0</v>
      </c>
      <c r="N451" s="9">
        <f t="shared" si="41"/>
        <v>20</v>
      </c>
      <c r="O451" s="29">
        <f>M455</f>
        <v>50</v>
      </c>
      <c r="P451" s="29">
        <f>L451</f>
        <v>20</v>
      </c>
      <c r="Q451" s="29">
        <f>P451+O451</f>
        <v>70</v>
      </c>
      <c r="R451" s="11">
        <v>0</v>
      </c>
      <c r="S451" s="1">
        <v>0.08</v>
      </c>
      <c r="T451" s="1">
        <f t="shared" si="42"/>
        <v>0.08</v>
      </c>
      <c r="U451" s="12">
        <v>0</v>
      </c>
      <c r="V451" s="13">
        <v>29.154806999999995</v>
      </c>
      <c r="W451" s="14">
        <f t="shared" ref="W451:W514" si="43">T451*V451/100*N451*100*100*((100-U451)/100)</f>
        <v>4664.7691199999981</v>
      </c>
      <c r="X451" s="14">
        <f>SUM(W451:W455)</f>
        <v>29585.747989799998</v>
      </c>
      <c r="Y451" s="14">
        <f t="shared" si="40"/>
        <v>4664.7691199999981</v>
      </c>
      <c r="Z451" s="15">
        <f>SUM(Y451:Y455)/10^6*10^4</f>
        <v>295.85747989799995</v>
      </c>
      <c r="AA451" s="16">
        <v>44.191917556337941</v>
      </c>
      <c r="AB451" s="5"/>
      <c r="AC451" s="5"/>
      <c r="AD451" s="28"/>
      <c r="AE451" s="28"/>
      <c r="AF451" s="3"/>
      <c r="AG451" s="7"/>
      <c r="AH451" s="7"/>
      <c r="AI451" s="3" t="s">
        <v>59</v>
      </c>
      <c r="AJ451" s="7" t="s">
        <v>60</v>
      </c>
      <c r="AK451" s="3"/>
      <c r="AL451" cm="1">
        <f t="array" ref="AL451">IF(getColor(V451) = 16777215, 0, 1)</f>
        <v>0</v>
      </c>
    </row>
    <row r="452" spans="1:38">
      <c r="A452" s="1">
        <v>451</v>
      </c>
      <c r="B452" s="3" t="s">
        <v>27</v>
      </c>
      <c r="C452" s="7" t="s">
        <v>269</v>
      </c>
      <c r="D452" s="7" t="s">
        <v>270</v>
      </c>
      <c r="E452" s="8">
        <v>55.48746666666667</v>
      </c>
      <c r="F452" s="8">
        <v>-132.64579999999998</v>
      </c>
      <c r="G452" s="9" t="s">
        <v>30</v>
      </c>
      <c r="H452" s="3" t="s">
        <v>31</v>
      </c>
      <c r="I452" s="3" t="s">
        <v>31</v>
      </c>
      <c r="J452" s="3" t="s">
        <v>31</v>
      </c>
      <c r="K452" s="7" t="s">
        <v>77</v>
      </c>
      <c r="L452" s="9">
        <v>0</v>
      </c>
      <c r="M452" s="9">
        <v>12</v>
      </c>
      <c r="N452" s="9">
        <f t="shared" si="41"/>
        <v>12</v>
      </c>
      <c r="O452" s="9"/>
      <c r="P452" s="9"/>
      <c r="Q452" s="25"/>
      <c r="R452" s="11">
        <v>0</v>
      </c>
      <c r="S452" s="1">
        <v>0.86</v>
      </c>
      <c r="T452" s="1">
        <f t="shared" si="42"/>
        <v>0.86</v>
      </c>
      <c r="U452" s="12">
        <v>27</v>
      </c>
      <c r="V452" s="13">
        <v>9.6903989999999993</v>
      </c>
      <c r="W452" s="14">
        <f t="shared" si="43"/>
        <v>7300.3589906399993</v>
      </c>
      <c r="X452" s="25"/>
      <c r="Y452" s="14">
        <f t="shared" si="40"/>
        <v>7300.3589906399993</v>
      </c>
      <c r="Z452" s="3"/>
      <c r="AA452" s="11"/>
      <c r="AB452" s="5"/>
      <c r="AC452" s="5"/>
      <c r="AD452" s="28"/>
      <c r="AE452" s="28"/>
      <c r="AF452" s="3"/>
      <c r="AG452" s="7"/>
      <c r="AH452" s="7"/>
      <c r="AI452" s="3" t="s">
        <v>59</v>
      </c>
      <c r="AJ452" s="7" t="s">
        <v>78</v>
      </c>
      <c r="AK452" s="3"/>
      <c r="AL452" cm="1">
        <f t="array" ref="AL452">IF(getColor(V452) = 16777215, 0, 1)</f>
        <v>0</v>
      </c>
    </row>
    <row r="453" spans="1:38">
      <c r="A453" s="1">
        <v>452</v>
      </c>
      <c r="B453" s="3" t="s">
        <v>27</v>
      </c>
      <c r="C453" s="7" t="s">
        <v>269</v>
      </c>
      <c r="D453" s="7" t="s">
        <v>270</v>
      </c>
      <c r="E453" s="8">
        <v>55.48746666666667</v>
      </c>
      <c r="F453" s="8">
        <v>-132.64579999999998</v>
      </c>
      <c r="G453" s="9" t="s">
        <v>30</v>
      </c>
      <c r="H453" s="3" t="s">
        <v>31</v>
      </c>
      <c r="I453" s="3" t="s">
        <v>31</v>
      </c>
      <c r="J453" s="3" t="s">
        <v>31</v>
      </c>
      <c r="K453" s="7" t="s">
        <v>80</v>
      </c>
      <c r="L453" s="9">
        <v>12</v>
      </c>
      <c r="M453" s="9">
        <v>30</v>
      </c>
      <c r="N453" s="9">
        <f t="shared" si="41"/>
        <v>18</v>
      </c>
      <c r="O453" s="9"/>
      <c r="P453" s="9"/>
      <c r="Q453" s="25"/>
      <c r="R453" s="11">
        <v>0</v>
      </c>
      <c r="S453" s="1">
        <v>1.74</v>
      </c>
      <c r="T453" s="1">
        <f t="shared" si="42"/>
        <v>1.74</v>
      </c>
      <c r="U453" s="12">
        <v>39</v>
      </c>
      <c r="V453" s="13">
        <v>6.4630530000000004</v>
      </c>
      <c r="W453" s="14">
        <f t="shared" si="43"/>
        <v>12347.792017560001</v>
      </c>
      <c r="X453" s="25"/>
      <c r="Y453" s="14">
        <f t="shared" si="40"/>
        <v>12347.792017560001</v>
      </c>
      <c r="Z453" s="3"/>
      <c r="AA453" s="11"/>
      <c r="AB453" s="5"/>
      <c r="AC453" s="5"/>
      <c r="AD453" s="28"/>
      <c r="AE453" s="28"/>
      <c r="AF453" s="3"/>
      <c r="AG453" s="7"/>
      <c r="AH453" s="7"/>
      <c r="AI453" s="3" t="s">
        <v>59</v>
      </c>
      <c r="AJ453" s="7" t="s">
        <v>80</v>
      </c>
      <c r="AK453" s="3"/>
      <c r="AL453" cm="1">
        <f t="array" ref="AL453">IF(getColor(V453) = 16777215, 0, 1)</f>
        <v>0</v>
      </c>
    </row>
    <row r="454" spans="1:38">
      <c r="A454" s="1">
        <v>453</v>
      </c>
      <c r="B454" s="3" t="s">
        <v>27</v>
      </c>
      <c r="C454" s="7" t="s">
        <v>269</v>
      </c>
      <c r="D454" s="7" t="s">
        <v>270</v>
      </c>
      <c r="E454" s="8">
        <v>55.48746666666667</v>
      </c>
      <c r="F454" s="8">
        <v>-132.64579999999998</v>
      </c>
      <c r="G454" s="9" t="s">
        <v>30</v>
      </c>
      <c r="H454" s="3" t="s">
        <v>31</v>
      </c>
      <c r="I454" s="3" t="s">
        <v>31</v>
      </c>
      <c r="J454" s="3" t="s">
        <v>31</v>
      </c>
      <c r="K454" s="7" t="s">
        <v>81</v>
      </c>
      <c r="L454" s="9">
        <v>30</v>
      </c>
      <c r="M454" s="9">
        <v>50</v>
      </c>
      <c r="N454" s="9">
        <f t="shared" si="41"/>
        <v>20</v>
      </c>
      <c r="O454" s="9"/>
      <c r="P454" s="9"/>
      <c r="Q454" s="25"/>
      <c r="R454" s="11">
        <v>0</v>
      </c>
      <c r="S454" s="1">
        <v>1.74</v>
      </c>
      <c r="T454" s="1">
        <f t="shared" si="42"/>
        <v>1.74</v>
      </c>
      <c r="U454" s="12">
        <v>59</v>
      </c>
      <c r="V454" s="13">
        <v>3.6955619999999998</v>
      </c>
      <c r="W454" s="14">
        <f t="shared" si="43"/>
        <v>5272.8278615999998</v>
      </c>
      <c r="X454" s="25"/>
      <c r="Y454" s="14">
        <f t="shared" si="40"/>
        <v>5272.8278615999998</v>
      </c>
      <c r="Z454" s="3"/>
      <c r="AA454" s="11"/>
      <c r="AB454" s="5"/>
      <c r="AC454" s="5"/>
      <c r="AD454" s="28"/>
      <c r="AE454" s="28"/>
      <c r="AF454" s="3"/>
      <c r="AG454" s="7"/>
      <c r="AH454" s="7"/>
      <c r="AI454" s="3" t="s">
        <v>59</v>
      </c>
      <c r="AJ454" s="7" t="s">
        <v>81</v>
      </c>
      <c r="AK454" s="3"/>
      <c r="AL454" cm="1">
        <f t="array" ref="AL454">IF(getColor(V454) = 16777215, 0, 1)</f>
        <v>0</v>
      </c>
    </row>
    <row r="455" spans="1:38">
      <c r="A455" s="1">
        <v>454</v>
      </c>
      <c r="B455" s="3" t="s">
        <v>27</v>
      </c>
      <c r="C455" s="7" t="s">
        <v>269</v>
      </c>
      <c r="D455" s="7" t="s">
        <v>270</v>
      </c>
      <c r="E455" s="8">
        <v>55.48746666666667</v>
      </c>
      <c r="F455" s="8">
        <v>-132.64579999999998</v>
      </c>
      <c r="G455" s="9" t="s">
        <v>30</v>
      </c>
      <c r="H455" s="3" t="s">
        <v>31</v>
      </c>
      <c r="I455" s="3" t="s">
        <v>31</v>
      </c>
      <c r="J455" s="3" t="s">
        <v>31</v>
      </c>
      <c r="K455" s="7" t="s">
        <v>137</v>
      </c>
      <c r="L455" s="9">
        <v>50</v>
      </c>
      <c r="M455" s="9">
        <v>50</v>
      </c>
      <c r="N455" s="9">
        <f t="shared" si="41"/>
        <v>0</v>
      </c>
      <c r="O455" s="9"/>
      <c r="P455" s="9"/>
      <c r="Q455" s="25"/>
      <c r="R455" s="11">
        <v>0</v>
      </c>
      <c r="S455" s="1">
        <v>1.74</v>
      </c>
      <c r="T455" s="1">
        <f t="shared" si="42"/>
        <v>1.74</v>
      </c>
      <c r="U455" s="12">
        <v>37</v>
      </c>
      <c r="V455" s="13">
        <v>2.4079679999999999</v>
      </c>
      <c r="W455" s="14">
        <f t="shared" si="43"/>
        <v>0</v>
      </c>
      <c r="X455" s="25"/>
      <c r="Y455" s="14">
        <f t="shared" si="40"/>
        <v>0</v>
      </c>
      <c r="Z455" s="3"/>
      <c r="AA455" s="11"/>
      <c r="AB455" s="5"/>
      <c r="AC455" s="5"/>
      <c r="AD455" s="28"/>
      <c r="AE455" s="28"/>
      <c r="AF455" s="3"/>
      <c r="AG455" s="7"/>
      <c r="AH455" s="7"/>
      <c r="AI455" s="3" t="s">
        <v>59</v>
      </c>
      <c r="AJ455" s="7" t="s">
        <v>137</v>
      </c>
      <c r="AK455" s="3"/>
      <c r="AL455" cm="1">
        <f t="array" ref="AL455">IF(getColor(V455) = 16777215, 0, 1)</f>
        <v>0</v>
      </c>
    </row>
    <row r="456" spans="1:38">
      <c r="A456" s="1">
        <v>455</v>
      </c>
      <c r="B456" s="3" t="s">
        <v>27</v>
      </c>
      <c r="C456" s="7" t="s">
        <v>271</v>
      </c>
      <c r="D456" s="7" t="s">
        <v>258</v>
      </c>
      <c r="E456" s="8">
        <v>55.5</v>
      </c>
      <c r="F456" s="8">
        <v>-132.45833333333331</v>
      </c>
      <c r="G456" s="9" t="s">
        <v>30</v>
      </c>
      <c r="H456" s="3" t="s">
        <v>31</v>
      </c>
      <c r="I456" s="3" t="s">
        <v>31</v>
      </c>
      <c r="J456" s="3" t="s">
        <v>31</v>
      </c>
      <c r="K456" s="7" t="s">
        <v>49</v>
      </c>
      <c r="L456" s="9">
        <v>20</v>
      </c>
      <c r="M456" s="9">
        <v>15</v>
      </c>
      <c r="N456" s="9">
        <f t="shared" si="41"/>
        <v>5</v>
      </c>
      <c r="O456" s="29">
        <f>M459</f>
        <v>100</v>
      </c>
      <c r="P456" s="29">
        <f>L456</f>
        <v>20</v>
      </c>
      <c r="Q456" s="29">
        <f>P456+O456</f>
        <v>120</v>
      </c>
      <c r="R456" s="11">
        <v>0</v>
      </c>
      <c r="S456" s="1">
        <v>0.08</v>
      </c>
      <c r="T456" s="1">
        <f t="shared" si="42"/>
        <v>0.08</v>
      </c>
      <c r="U456" s="12">
        <v>0</v>
      </c>
      <c r="V456" s="13">
        <v>47.435015000000007</v>
      </c>
      <c r="W456" s="14">
        <f t="shared" si="43"/>
        <v>1897.4006000000004</v>
      </c>
      <c r="X456" s="14">
        <f>SUM(W456:W459)</f>
        <v>25997.644272199999</v>
      </c>
      <c r="Y456" s="14">
        <f t="shared" si="40"/>
        <v>1897.4006000000004</v>
      </c>
      <c r="Z456" s="15">
        <f>SUM(Y456:Y459)/10^6*10^4</f>
        <v>259.976442722</v>
      </c>
      <c r="AA456" s="16">
        <v>56.614321641166612</v>
      </c>
      <c r="AB456" s="5"/>
      <c r="AC456" s="5"/>
      <c r="AD456" s="28"/>
      <c r="AE456" s="28"/>
      <c r="AF456" s="3"/>
      <c r="AG456" s="7"/>
      <c r="AH456" s="7"/>
      <c r="AI456" s="3" t="s">
        <v>107</v>
      </c>
      <c r="AJ456" s="7" t="s">
        <v>60</v>
      </c>
      <c r="AK456" s="3"/>
      <c r="AL456" cm="1">
        <f t="array" ref="AL456">IF(getColor(V456) = 16777215, 0, 1)</f>
        <v>0</v>
      </c>
    </row>
    <row r="457" spans="1:38">
      <c r="A457" s="1">
        <v>456</v>
      </c>
      <c r="B457" s="3" t="s">
        <v>27</v>
      </c>
      <c r="C457" s="7" t="s">
        <v>271</v>
      </c>
      <c r="D457" s="7" t="s">
        <v>258</v>
      </c>
      <c r="E457" s="8">
        <v>55.5</v>
      </c>
      <c r="F457" s="8">
        <v>-132.45833333333331</v>
      </c>
      <c r="G457" s="9" t="s">
        <v>30</v>
      </c>
      <c r="H457" s="3" t="s">
        <v>31</v>
      </c>
      <c r="I457" s="3" t="s">
        <v>31</v>
      </c>
      <c r="J457" s="3" t="s">
        <v>31</v>
      </c>
      <c r="K457" s="7" t="s">
        <v>52</v>
      </c>
      <c r="L457" s="9">
        <v>15</v>
      </c>
      <c r="M457" s="9">
        <v>0</v>
      </c>
      <c r="N457" s="9">
        <f t="shared" si="41"/>
        <v>15</v>
      </c>
      <c r="O457" s="9"/>
      <c r="P457" s="9"/>
      <c r="Q457" s="25"/>
      <c r="R457" s="11">
        <v>0</v>
      </c>
      <c r="S457" s="1">
        <v>0.15</v>
      </c>
      <c r="T457" s="1">
        <f t="shared" si="42"/>
        <v>0.15</v>
      </c>
      <c r="U457" s="12">
        <v>0</v>
      </c>
      <c r="V457" s="13">
        <v>34.709725000000006</v>
      </c>
      <c r="W457" s="14">
        <f t="shared" si="43"/>
        <v>7809.6881250000006</v>
      </c>
      <c r="X457" s="25"/>
      <c r="Y457" s="14">
        <f t="shared" si="40"/>
        <v>7809.6881250000006</v>
      </c>
      <c r="Z457" s="3"/>
      <c r="AA457" s="11"/>
      <c r="AB457" s="5"/>
      <c r="AC457" s="5"/>
      <c r="AD457" s="28"/>
      <c r="AE457" s="28"/>
      <c r="AF457" s="3"/>
      <c r="AG457" s="7"/>
      <c r="AH457" s="7"/>
      <c r="AI457" s="3" t="s">
        <v>107</v>
      </c>
      <c r="AJ457" s="7" t="s">
        <v>76</v>
      </c>
      <c r="AK457" s="3"/>
      <c r="AL457" cm="1">
        <f t="array" ref="AL457">IF(getColor(V457) = 16777215, 0, 1)</f>
        <v>0</v>
      </c>
    </row>
    <row r="458" spans="1:38">
      <c r="A458" s="1">
        <v>457</v>
      </c>
      <c r="B458" s="3" t="s">
        <v>27</v>
      </c>
      <c r="C458" s="7" t="s">
        <v>271</v>
      </c>
      <c r="D458" s="7" t="s">
        <v>258</v>
      </c>
      <c r="E458" s="8">
        <v>55.5</v>
      </c>
      <c r="F458" s="8">
        <v>-132.45833333333331</v>
      </c>
      <c r="G458" s="9" t="s">
        <v>30</v>
      </c>
      <c r="H458" s="3" t="s">
        <v>31</v>
      </c>
      <c r="I458" s="3" t="s">
        <v>31</v>
      </c>
      <c r="J458" s="3" t="s">
        <v>31</v>
      </c>
      <c r="K458" s="7" t="s">
        <v>77</v>
      </c>
      <c r="L458" s="9">
        <v>0</v>
      </c>
      <c r="M458" s="9">
        <v>12</v>
      </c>
      <c r="N458" s="9">
        <f t="shared" si="41"/>
        <v>12</v>
      </c>
      <c r="O458" s="9"/>
      <c r="P458" s="9"/>
      <c r="Q458" s="25"/>
      <c r="R458" s="11">
        <v>0</v>
      </c>
      <c r="S458" s="1">
        <v>0.86</v>
      </c>
      <c r="T458" s="1">
        <f t="shared" si="42"/>
        <v>0.86</v>
      </c>
      <c r="U458" s="12">
        <v>26</v>
      </c>
      <c r="V458" s="13">
        <v>2.1241000000000003</v>
      </c>
      <c r="W458" s="14">
        <f t="shared" si="43"/>
        <v>1622.1326880000001</v>
      </c>
      <c r="X458" s="25"/>
      <c r="Y458" s="14">
        <f t="shared" si="40"/>
        <v>1622.1326880000001</v>
      </c>
      <c r="Z458" s="3"/>
      <c r="AA458" s="11"/>
      <c r="AB458" s="5"/>
      <c r="AC458" s="5"/>
      <c r="AD458" s="28"/>
      <c r="AE458" s="28"/>
      <c r="AF458" s="3"/>
      <c r="AG458" s="7"/>
      <c r="AH458" s="7"/>
      <c r="AI458" s="3" t="s">
        <v>107</v>
      </c>
      <c r="AJ458" s="7" t="s">
        <v>78</v>
      </c>
      <c r="AK458" s="3"/>
      <c r="AL458" cm="1">
        <f t="array" ref="AL458">IF(getColor(V458) = 16777215, 0, 1)</f>
        <v>0</v>
      </c>
    </row>
    <row r="459" spans="1:38">
      <c r="A459" s="1">
        <v>458</v>
      </c>
      <c r="B459" s="3" t="s">
        <v>27</v>
      </c>
      <c r="C459" s="7" t="s">
        <v>271</v>
      </c>
      <c r="D459" s="7" t="s">
        <v>258</v>
      </c>
      <c r="E459" s="8">
        <v>55.5</v>
      </c>
      <c r="F459" s="8">
        <v>-132.45833333333331</v>
      </c>
      <c r="G459" s="9" t="s">
        <v>30</v>
      </c>
      <c r="H459" s="3" t="s">
        <v>31</v>
      </c>
      <c r="I459" s="3" t="s">
        <v>31</v>
      </c>
      <c r="J459" s="3" t="s">
        <v>31</v>
      </c>
      <c r="K459" s="7" t="s">
        <v>137</v>
      </c>
      <c r="L459" s="9">
        <v>12</v>
      </c>
      <c r="M459" s="9">
        <v>100</v>
      </c>
      <c r="N459" s="9">
        <f t="shared" si="41"/>
        <v>88</v>
      </c>
      <c r="O459" s="9"/>
      <c r="P459" s="9"/>
      <c r="Q459" s="25"/>
      <c r="R459" s="11">
        <v>0</v>
      </c>
      <c r="S459" s="1">
        <v>1.74</v>
      </c>
      <c r="T459" s="1">
        <f t="shared" si="42"/>
        <v>1.74</v>
      </c>
      <c r="U459" s="12">
        <v>78</v>
      </c>
      <c r="V459" s="13">
        <v>4.3544049999999999</v>
      </c>
      <c r="W459" s="14">
        <f t="shared" si="43"/>
        <v>14668.4228592</v>
      </c>
      <c r="X459" s="25"/>
      <c r="Y459" s="14">
        <f t="shared" si="40"/>
        <v>14668.4228592</v>
      </c>
      <c r="Z459" s="3"/>
      <c r="AA459" s="11"/>
      <c r="AB459" s="5"/>
      <c r="AC459" s="5"/>
      <c r="AD459" s="28"/>
      <c r="AE459" s="28"/>
      <c r="AF459" s="3"/>
      <c r="AG459" s="7"/>
      <c r="AH459" s="7"/>
      <c r="AI459" s="3" t="s">
        <v>107</v>
      </c>
      <c r="AJ459" s="7" t="s">
        <v>137</v>
      </c>
      <c r="AK459" s="3"/>
      <c r="AL459" cm="1">
        <f t="array" ref="AL459">IF(getColor(V459) = 16777215, 0, 1)</f>
        <v>0</v>
      </c>
    </row>
    <row r="460" spans="1:38">
      <c r="A460" s="1">
        <v>459</v>
      </c>
      <c r="B460" s="3" t="s">
        <v>27</v>
      </c>
      <c r="C460" s="7" t="s">
        <v>272</v>
      </c>
      <c r="D460" s="7" t="s">
        <v>273</v>
      </c>
      <c r="E460" s="8">
        <v>55.505555555555553</v>
      </c>
      <c r="F460" s="8">
        <v>-132.47493333333333</v>
      </c>
      <c r="G460" s="9" t="s">
        <v>30</v>
      </c>
      <c r="H460" s="3" t="s">
        <v>31</v>
      </c>
      <c r="I460" s="3" t="s">
        <v>31</v>
      </c>
      <c r="J460" s="3" t="s">
        <v>31</v>
      </c>
      <c r="K460" s="7" t="s">
        <v>49</v>
      </c>
      <c r="L460" s="9">
        <v>10</v>
      </c>
      <c r="M460" s="9">
        <v>0</v>
      </c>
      <c r="N460" s="9">
        <f t="shared" si="41"/>
        <v>10</v>
      </c>
      <c r="O460" s="29">
        <f>M462</f>
        <v>30</v>
      </c>
      <c r="P460" s="29">
        <f>L460</f>
        <v>10</v>
      </c>
      <c r="Q460" s="29">
        <f>P460+O460</f>
        <v>40</v>
      </c>
      <c r="R460" s="11">
        <v>0</v>
      </c>
      <c r="S460" s="1">
        <v>0.08</v>
      </c>
      <c r="T460" s="1">
        <f t="shared" si="42"/>
        <v>0.08</v>
      </c>
      <c r="U460" s="12">
        <v>0</v>
      </c>
      <c r="V460" s="13">
        <v>39.468429</v>
      </c>
      <c r="W460" s="14">
        <f t="shared" si="43"/>
        <v>3157.4743200000003</v>
      </c>
      <c r="X460" s="14">
        <f>SUM(W460:W462)</f>
        <v>14467.4377848</v>
      </c>
      <c r="Y460" s="14">
        <f t="shared" ref="Y460:Y470" si="44">T460*V460/100*N460*100*100*((100-U460)/100)</f>
        <v>3157.4743200000003</v>
      </c>
      <c r="Z460" s="15">
        <f>SUM(Y460:Y462)/10^6*10^4</f>
        <v>144.67437784800001</v>
      </c>
      <c r="AA460" s="16">
        <v>28.694762612877277</v>
      </c>
      <c r="AB460" s="5"/>
      <c r="AC460" s="5"/>
      <c r="AD460" s="28"/>
      <c r="AE460" s="28"/>
      <c r="AF460" s="3"/>
      <c r="AG460" s="7"/>
      <c r="AH460" s="7"/>
      <c r="AI460" s="3" t="s">
        <v>107</v>
      </c>
      <c r="AJ460" s="7" t="s">
        <v>60</v>
      </c>
      <c r="AK460" s="3"/>
      <c r="AL460" cm="1">
        <f t="array" ref="AL460">IF(getColor(V460) = 16777215, 0, 1)</f>
        <v>0</v>
      </c>
    </row>
    <row r="461" spans="1:38">
      <c r="A461" s="1">
        <v>460</v>
      </c>
      <c r="B461" s="3" t="s">
        <v>27</v>
      </c>
      <c r="C461" s="7" t="s">
        <v>272</v>
      </c>
      <c r="D461" s="7" t="s">
        <v>273</v>
      </c>
      <c r="E461" s="8">
        <v>55.505555555555553</v>
      </c>
      <c r="F461" s="8">
        <v>-132.47493333333333</v>
      </c>
      <c r="G461" s="9" t="s">
        <v>30</v>
      </c>
      <c r="H461" s="3" t="s">
        <v>31</v>
      </c>
      <c r="I461" s="3" t="s">
        <v>31</v>
      </c>
      <c r="J461" s="3" t="s">
        <v>31</v>
      </c>
      <c r="K461" s="7" t="s">
        <v>47</v>
      </c>
      <c r="L461" s="9">
        <v>0</v>
      </c>
      <c r="M461" s="9">
        <v>10</v>
      </c>
      <c r="N461" s="9">
        <f t="shared" si="41"/>
        <v>10</v>
      </c>
      <c r="O461" s="9"/>
      <c r="P461" s="9"/>
      <c r="Q461" s="25"/>
      <c r="R461" s="11">
        <v>0</v>
      </c>
      <c r="S461" s="1">
        <v>0.93</v>
      </c>
      <c r="T461" s="1">
        <f t="shared" si="42"/>
        <v>0.93</v>
      </c>
      <c r="U461" s="12">
        <v>38</v>
      </c>
      <c r="V461" s="13">
        <v>11.153142000000001</v>
      </c>
      <c r="W461" s="14">
        <f t="shared" si="43"/>
        <v>6430.9016772000014</v>
      </c>
      <c r="X461" s="25"/>
      <c r="Y461" s="14">
        <f t="shared" si="44"/>
        <v>6430.9016772000014</v>
      </c>
      <c r="Z461" s="3"/>
      <c r="AA461" s="11"/>
      <c r="AB461" s="5"/>
      <c r="AC461" s="5"/>
      <c r="AD461" s="28"/>
      <c r="AE461" s="28"/>
      <c r="AF461" s="3"/>
      <c r="AG461" s="7"/>
      <c r="AH461" s="7"/>
      <c r="AI461" s="3" t="s">
        <v>107</v>
      </c>
      <c r="AJ461" s="7" t="s">
        <v>47</v>
      </c>
      <c r="AK461" s="3"/>
      <c r="AL461" cm="1">
        <f t="array" ref="AL461">IF(getColor(V461) = 16777215, 0, 1)</f>
        <v>0</v>
      </c>
    </row>
    <row r="462" spans="1:38">
      <c r="A462" s="1">
        <v>461</v>
      </c>
      <c r="B462" s="3" t="s">
        <v>27</v>
      </c>
      <c r="C462" s="7" t="s">
        <v>272</v>
      </c>
      <c r="D462" s="7" t="s">
        <v>273</v>
      </c>
      <c r="E462" s="8">
        <v>55.505555555555553</v>
      </c>
      <c r="F462" s="8">
        <v>-132.47493333333333</v>
      </c>
      <c r="G462" s="9" t="s">
        <v>30</v>
      </c>
      <c r="H462" s="3" t="s">
        <v>31</v>
      </c>
      <c r="I462" s="3" t="s">
        <v>31</v>
      </c>
      <c r="J462" s="3" t="s">
        <v>31</v>
      </c>
      <c r="K462" s="7" t="s">
        <v>77</v>
      </c>
      <c r="L462" s="9">
        <v>10</v>
      </c>
      <c r="M462" s="9">
        <v>30</v>
      </c>
      <c r="N462" s="9">
        <f t="shared" si="41"/>
        <v>20</v>
      </c>
      <c r="O462" s="9"/>
      <c r="P462" s="9"/>
      <c r="Q462" s="25"/>
      <c r="R462" s="11">
        <v>0</v>
      </c>
      <c r="S462" s="1">
        <v>0.86</v>
      </c>
      <c r="T462" s="1">
        <f t="shared" si="42"/>
        <v>0.86</v>
      </c>
      <c r="U462" s="12">
        <v>77</v>
      </c>
      <c r="V462" s="13">
        <v>12.333321</v>
      </c>
      <c r="W462" s="14">
        <f t="shared" si="43"/>
        <v>4879.0617875999997</v>
      </c>
      <c r="X462" s="25"/>
      <c r="Y462" s="14">
        <f t="shared" si="44"/>
        <v>4879.0617875999997</v>
      </c>
      <c r="Z462" s="3"/>
      <c r="AA462" s="11"/>
      <c r="AB462" s="5"/>
      <c r="AC462" s="5"/>
      <c r="AD462" s="28"/>
      <c r="AE462" s="28"/>
      <c r="AF462" s="3"/>
      <c r="AG462" s="7"/>
      <c r="AH462" s="7"/>
      <c r="AI462" s="3" t="s">
        <v>107</v>
      </c>
      <c r="AJ462" s="7" t="s">
        <v>78</v>
      </c>
      <c r="AK462" s="3"/>
      <c r="AL462" cm="1">
        <f t="array" ref="AL462">IF(getColor(V462) = 16777215, 0, 1)</f>
        <v>0</v>
      </c>
    </row>
    <row r="463" spans="1:38">
      <c r="A463" s="1">
        <v>462</v>
      </c>
      <c r="B463" s="3" t="s">
        <v>27</v>
      </c>
      <c r="C463" s="7" t="s">
        <v>274</v>
      </c>
      <c r="D463" s="7" t="s">
        <v>74</v>
      </c>
      <c r="E463" s="8">
        <v>55.5</v>
      </c>
      <c r="F463" s="8">
        <v>-132.47076666666666</v>
      </c>
      <c r="G463" s="9" t="s">
        <v>30</v>
      </c>
      <c r="H463" s="3" t="s">
        <v>31</v>
      </c>
      <c r="I463" s="3" t="s">
        <v>31</v>
      </c>
      <c r="J463" s="3" t="s">
        <v>31</v>
      </c>
      <c r="K463" s="7" t="s">
        <v>49</v>
      </c>
      <c r="L463" s="9">
        <v>30</v>
      </c>
      <c r="M463" s="9">
        <v>22</v>
      </c>
      <c r="N463" s="9">
        <f t="shared" si="41"/>
        <v>8</v>
      </c>
      <c r="O463" s="29">
        <f>M466</f>
        <v>25</v>
      </c>
      <c r="P463" s="29">
        <f>L463</f>
        <v>30</v>
      </c>
      <c r="Q463" s="29">
        <f>P463+O463</f>
        <v>55</v>
      </c>
      <c r="R463" s="11">
        <v>0</v>
      </c>
      <c r="S463" s="1">
        <v>0.08</v>
      </c>
      <c r="T463" s="1">
        <f t="shared" si="42"/>
        <v>0.08</v>
      </c>
      <c r="U463" s="12">
        <v>0</v>
      </c>
      <c r="V463" s="13">
        <v>40.135835</v>
      </c>
      <c r="W463" s="14">
        <f t="shared" si="43"/>
        <v>2568.69344</v>
      </c>
      <c r="X463" s="14">
        <f>SUM(W463:W466)</f>
        <v>8721.96011</v>
      </c>
      <c r="Y463" s="14">
        <f t="shared" si="44"/>
        <v>2568.69344</v>
      </c>
      <c r="Z463" s="15">
        <f>SUM(Y463:Y466)/10^6*10^4</f>
        <v>87.219601099999991</v>
      </c>
      <c r="AA463" s="16">
        <v>40.978182693724577</v>
      </c>
      <c r="AB463" s="5"/>
      <c r="AC463" s="5"/>
      <c r="AD463" s="28"/>
      <c r="AE463" s="28"/>
      <c r="AF463" s="3"/>
      <c r="AG463" s="7"/>
      <c r="AH463" s="7"/>
      <c r="AI463" s="3" t="s">
        <v>75</v>
      </c>
      <c r="AJ463" s="7" t="s">
        <v>60</v>
      </c>
      <c r="AK463" s="3"/>
      <c r="AL463" cm="1">
        <f t="array" ref="AL463">IF(getColor(V463) = 16777215, 0, 1)</f>
        <v>0</v>
      </c>
    </row>
    <row r="464" spans="1:38">
      <c r="A464" s="1">
        <v>463</v>
      </c>
      <c r="B464" s="3" t="s">
        <v>27</v>
      </c>
      <c r="C464" s="7" t="s">
        <v>274</v>
      </c>
      <c r="D464" s="7" t="s">
        <v>74</v>
      </c>
      <c r="E464" s="8">
        <v>55.5</v>
      </c>
      <c r="F464" s="8">
        <v>-132.47076666666666</v>
      </c>
      <c r="G464" s="9" t="s">
        <v>30</v>
      </c>
      <c r="H464" s="3" t="s">
        <v>31</v>
      </c>
      <c r="I464" s="3" t="s">
        <v>31</v>
      </c>
      <c r="J464" s="3" t="s">
        <v>31</v>
      </c>
      <c r="K464" s="7" t="s">
        <v>52</v>
      </c>
      <c r="L464" s="9">
        <v>22</v>
      </c>
      <c r="M464" s="9">
        <v>0</v>
      </c>
      <c r="N464" s="9">
        <f t="shared" si="41"/>
        <v>22</v>
      </c>
      <c r="O464" s="9"/>
      <c r="P464" s="9"/>
      <c r="Q464" s="25"/>
      <c r="R464" s="11">
        <v>0</v>
      </c>
      <c r="S464" s="1">
        <v>0.15</v>
      </c>
      <c r="T464" s="1">
        <f t="shared" si="42"/>
        <v>0.15</v>
      </c>
      <c r="U464" s="12">
        <v>0</v>
      </c>
      <c r="V464" s="13">
        <v>9.3170750000000009</v>
      </c>
      <c r="W464" s="14">
        <f t="shared" si="43"/>
        <v>3074.6347500000006</v>
      </c>
      <c r="X464" s="25"/>
      <c r="Y464" s="14">
        <f t="shared" si="44"/>
        <v>3074.6347500000006</v>
      </c>
      <c r="Z464" s="3"/>
      <c r="AA464" s="11"/>
      <c r="AB464" s="5"/>
      <c r="AC464" s="5"/>
      <c r="AD464" s="28"/>
      <c r="AE464" s="28"/>
      <c r="AF464" s="3"/>
      <c r="AG464" s="7"/>
      <c r="AH464" s="7"/>
      <c r="AI464" s="3" t="s">
        <v>75</v>
      </c>
      <c r="AJ464" s="7" t="s">
        <v>76</v>
      </c>
      <c r="AK464" s="3"/>
      <c r="AL464" cm="1">
        <f t="array" ref="AL464">IF(getColor(V464) = 16777215, 0, 1)</f>
        <v>0</v>
      </c>
    </row>
    <row r="465" spans="1:38">
      <c r="A465" s="1">
        <v>464</v>
      </c>
      <c r="B465" s="3" t="s">
        <v>27</v>
      </c>
      <c r="C465" s="7" t="s">
        <v>274</v>
      </c>
      <c r="D465" s="7" t="s">
        <v>74</v>
      </c>
      <c r="E465" s="8">
        <v>55.5</v>
      </c>
      <c r="F465" s="8">
        <v>-132.47076666666666</v>
      </c>
      <c r="G465" s="9" t="s">
        <v>30</v>
      </c>
      <c r="H465" s="3" t="s">
        <v>31</v>
      </c>
      <c r="I465" s="3" t="s">
        <v>31</v>
      </c>
      <c r="J465" s="3" t="s">
        <v>31</v>
      </c>
      <c r="K465" s="7" t="s">
        <v>41</v>
      </c>
      <c r="L465" s="9">
        <v>0</v>
      </c>
      <c r="M465" s="9">
        <v>25</v>
      </c>
      <c r="N465" s="9">
        <f t="shared" si="41"/>
        <v>25</v>
      </c>
      <c r="O465" s="9"/>
      <c r="P465" s="9"/>
      <c r="Q465" s="25"/>
      <c r="R465" s="11">
        <v>0</v>
      </c>
      <c r="S465" s="1">
        <v>1.46</v>
      </c>
      <c r="T465" s="1">
        <f t="shared" si="42"/>
        <v>1.46</v>
      </c>
      <c r="U465" s="12">
        <v>61</v>
      </c>
      <c r="V465" s="13">
        <v>2.1627200000000002</v>
      </c>
      <c r="W465" s="14">
        <f t="shared" si="43"/>
        <v>3078.6319200000003</v>
      </c>
      <c r="X465" s="25"/>
      <c r="Y465" s="14">
        <f t="shared" si="44"/>
        <v>3078.6319200000003</v>
      </c>
      <c r="Z465" s="3"/>
      <c r="AA465" s="11"/>
      <c r="AB465" s="5"/>
      <c r="AC465" s="5"/>
      <c r="AD465" s="28"/>
      <c r="AE465" s="28"/>
      <c r="AF465" s="3"/>
      <c r="AG465" s="7"/>
      <c r="AH465" s="7"/>
      <c r="AI465" s="3" t="s">
        <v>75</v>
      </c>
      <c r="AJ465" s="7" t="s">
        <v>61</v>
      </c>
      <c r="AK465" s="3"/>
      <c r="AL465" cm="1">
        <f t="array" ref="AL465">IF(getColor(V465) = 16777215, 0, 1)</f>
        <v>0</v>
      </c>
    </row>
    <row r="466" spans="1:38">
      <c r="A466" s="1">
        <v>465</v>
      </c>
      <c r="B466" s="3" t="s">
        <v>27</v>
      </c>
      <c r="C466" s="7" t="s">
        <v>274</v>
      </c>
      <c r="D466" s="7" t="s">
        <v>74</v>
      </c>
      <c r="E466" s="8">
        <v>55.5</v>
      </c>
      <c r="F466" s="8">
        <v>-132.47076666666666</v>
      </c>
      <c r="G466" s="9" t="s">
        <v>30</v>
      </c>
      <c r="H466" s="3" t="s">
        <v>31</v>
      </c>
      <c r="I466" s="3" t="s">
        <v>31</v>
      </c>
      <c r="J466" s="3" t="s">
        <v>31</v>
      </c>
      <c r="K466" s="7" t="s">
        <v>137</v>
      </c>
      <c r="L466" s="9">
        <v>25</v>
      </c>
      <c r="M466" s="9">
        <v>25</v>
      </c>
      <c r="N466" s="9">
        <f t="shared" si="41"/>
        <v>0</v>
      </c>
      <c r="O466" s="9"/>
      <c r="P466" s="9"/>
      <c r="Q466" s="25"/>
      <c r="R466" s="11">
        <v>0</v>
      </c>
      <c r="S466" s="1">
        <v>1.91</v>
      </c>
      <c r="T466" s="1">
        <f t="shared" si="42"/>
        <v>1.91</v>
      </c>
      <c r="U466" s="12">
        <v>56</v>
      </c>
      <c r="V466" s="13">
        <v>0.73377999999999999</v>
      </c>
      <c r="W466" s="14">
        <f t="shared" si="43"/>
        <v>0</v>
      </c>
      <c r="X466" s="25"/>
      <c r="Y466" s="14">
        <f t="shared" si="44"/>
        <v>0</v>
      </c>
      <c r="Z466" s="3"/>
      <c r="AA466" s="11"/>
      <c r="AB466" s="5"/>
      <c r="AC466" s="5"/>
      <c r="AD466" s="28"/>
      <c r="AE466" s="28"/>
      <c r="AF466" s="3"/>
      <c r="AG466" s="7"/>
      <c r="AH466" s="7"/>
      <c r="AI466" s="3" t="s">
        <v>75</v>
      </c>
      <c r="AJ466" s="7" t="s">
        <v>137</v>
      </c>
      <c r="AK466" s="3"/>
      <c r="AL466" cm="1">
        <f t="array" ref="AL466">IF(getColor(V466) = 16777215, 0, 1)</f>
        <v>0</v>
      </c>
    </row>
    <row r="467" spans="1:38">
      <c r="A467" s="1">
        <v>466</v>
      </c>
      <c r="B467" s="3" t="s">
        <v>27</v>
      </c>
      <c r="C467" s="7" t="s">
        <v>275</v>
      </c>
      <c r="D467" s="7" t="s">
        <v>168</v>
      </c>
      <c r="E467" s="8">
        <v>55.512500000000003</v>
      </c>
      <c r="F467" s="8">
        <v>-133.40833333333333</v>
      </c>
      <c r="G467" s="9" t="s">
        <v>30</v>
      </c>
      <c r="H467" s="3" t="s">
        <v>31</v>
      </c>
      <c r="I467" s="3" t="s">
        <v>31</v>
      </c>
      <c r="J467" s="3" t="s">
        <v>31</v>
      </c>
      <c r="K467" s="7" t="s">
        <v>53</v>
      </c>
      <c r="L467" s="9">
        <v>13</v>
      </c>
      <c r="M467" s="9">
        <v>0</v>
      </c>
      <c r="N467" s="9">
        <f t="shared" si="41"/>
        <v>13</v>
      </c>
      <c r="O467" s="29">
        <f>M471</f>
        <v>102</v>
      </c>
      <c r="P467" s="29">
        <f>L467</f>
        <v>13</v>
      </c>
      <c r="Q467" s="29">
        <f>P467+O467</f>
        <v>115</v>
      </c>
      <c r="R467" s="11">
        <v>0</v>
      </c>
      <c r="S467" s="1">
        <v>0.14000000000000001</v>
      </c>
      <c r="T467" s="1">
        <f t="shared" si="42"/>
        <v>0.14000000000000001</v>
      </c>
      <c r="U467" s="12">
        <v>0</v>
      </c>
      <c r="V467" s="13">
        <v>28.491905000000003</v>
      </c>
      <c r="W467" s="14">
        <f t="shared" si="43"/>
        <v>5185.526710000001</v>
      </c>
      <c r="X467" s="14">
        <f>SUM(W467:W471)</f>
        <v>27919.6251505</v>
      </c>
      <c r="Y467" s="14">
        <f t="shared" si="44"/>
        <v>5185.526710000001</v>
      </c>
      <c r="Z467" s="15">
        <f>SUM(Y467:Y471)/10^6*10^4</f>
        <v>275.34871083300004</v>
      </c>
      <c r="AA467" s="16">
        <v>39.985213775766063</v>
      </c>
      <c r="AB467" s="5"/>
      <c r="AC467" s="5"/>
      <c r="AD467" s="28"/>
      <c r="AE467" s="28"/>
      <c r="AF467" s="3"/>
      <c r="AG467" s="7"/>
      <c r="AH467" s="7"/>
      <c r="AI467" s="3" t="s">
        <v>75</v>
      </c>
      <c r="AJ467" s="7" t="s">
        <v>53</v>
      </c>
      <c r="AK467" s="3"/>
      <c r="AL467" cm="1">
        <f t="array" ref="AL467">IF(getColor(V467) = 16777215, 0, 1)</f>
        <v>0</v>
      </c>
    </row>
    <row r="468" spans="1:38">
      <c r="A468" s="1">
        <v>467</v>
      </c>
      <c r="B468" s="3" t="s">
        <v>27</v>
      </c>
      <c r="C468" s="7" t="s">
        <v>275</v>
      </c>
      <c r="D468" s="7" t="s">
        <v>168</v>
      </c>
      <c r="E468" s="8">
        <v>55.512500000000003</v>
      </c>
      <c r="F468" s="8">
        <v>-133.40833333333333</v>
      </c>
      <c r="G468" s="9" t="s">
        <v>30</v>
      </c>
      <c r="H468" s="3" t="s">
        <v>31</v>
      </c>
      <c r="I468" s="3" t="s">
        <v>31</v>
      </c>
      <c r="J468" s="3" t="s">
        <v>31</v>
      </c>
      <c r="K468" s="7" t="s">
        <v>47</v>
      </c>
      <c r="L468" s="9">
        <v>0</v>
      </c>
      <c r="M468" s="9">
        <v>3</v>
      </c>
      <c r="N468" s="9">
        <f t="shared" si="41"/>
        <v>3</v>
      </c>
      <c r="O468" s="9"/>
      <c r="P468" s="9"/>
      <c r="Q468" s="25"/>
      <c r="R468" s="11">
        <v>0</v>
      </c>
      <c r="S468" s="1">
        <v>1.31</v>
      </c>
      <c r="T468" s="1">
        <f t="shared" si="42"/>
        <v>1.31</v>
      </c>
      <c r="U468" s="12">
        <v>37</v>
      </c>
      <c r="V468" s="13">
        <v>3.5916600000000001</v>
      </c>
      <c r="W468" s="14">
        <f t="shared" si="43"/>
        <v>889.25909940000008</v>
      </c>
      <c r="X468" s="25"/>
      <c r="Y468" s="14">
        <f t="shared" si="44"/>
        <v>889.25909940000008</v>
      </c>
      <c r="Z468" s="3"/>
      <c r="AA468" s="11"/>
      <c r="AB468" s="5"/>
      <c r="AC468" s="5"/>
      <c r="AD468" s="28"/>
      <c r="AE468" s="28"/>
      <c r="AF468" s="3"/>
      <c r="AG468" s="7"/>
      <c r="AH468" s="7"/>
      <c r="AI468" s="3" t="s">
        <v>75</v>
      </c>
      <c r="AJ468" s="7" t="s">
        <v>47</v>
      </c>
      <c r="AK468" s="3"/>
      <c r="AL468" cm="1">
        <f t="array" ref="AL468">IF(getColor(V468) = 16777215, 0, 1)</f>
        <v>0</v>
      </c>
    </row>
    <row r="469" spans="1:38">
      <c r="A469" s="1">
        <v>468</v>
      </c>
      <c r="B469" s="3" t="s">
        <v>27</v>
      </c>
      <c r="C469" s="7" t="s">
        <v>275</v>
      </c>
      <c r="D469" s="7" t="s">
        <v>168</v>
      </c>
      <c r="E469" s="8">
        <v>55.512500000000003</v>
      </c>
      <c r="F469" s="8">
        <v>-133.40833333333333</v>
      </c>
      <c r="G469" s="9" t="s">
        <v>30</v>
      </c>
      <c r="H469" s="3" t="s">
        <v>31</v>
      </c>
      <c r="I469" s="3" t="s">
        <v>31</v>
      </c>
      <c r="J469" s="3" t="s">
        <v>31</v>
      </c>
      <c r="K469" s="7" t="s">
        <v>101</v>
      </c>
      <c r="L469" s="9">
        <v>3</v>
      </c>
      <c r="M469" s="9">
        <v>13</v>
      </c>
      <c r="N469" s="9">
        <f t="shared" si="41"/>
        <v>10</v>
      </c>
      <c r="O469" s="9"/>
      <c r="P469" s="9"/>
      <c r="Q469" s="25"/>
      <c r="R469" s="11">
        <v>0</v>
      </c>
      <c r="S469" s="1">
        <v>1.19</v>
      </c>
      <c r="T469" s="1">
        <f t="shared" si="42"/>
        <v>1.19</v>
      </c>
      <c r="U469" s="12">
        <v>62</v>
      </c>
      <c r="V469" s="13">
        <v>9.8480999999999987</v>
      </c>
      <c r="W469" s="14">
        <f t="shared" si="43"/>
        <v>4453.3108199999997</v>
      </c>
      <c r="X469" s="25"/>
      <c r="Y469" s="14">
        <f t="shared" si="44"/>
        <v>4453.3108199999997</v>
      </c>
      <c r="Z469" s="3"/>
      <c r="AA469" s="11"/>
      <c r="AB469" s="5"/>
      <c r="AC469" s="5"/>
      <c r="AD469" s="28"/>
      <c r="AE469" s="28"/>
      <c r="AF469" s="3"/>
      <c r="AG469" s="7"/>
      <c r="AH469" s="7"/>
      <c r="AI469" s="3" t="s">
        <v>75</v>
      </c>
      <c r="AJ469" s="7" t="s">
        <v>102</v>
      </c>
      <c r="AK469" s="3"/>
      <c r="AL469" cm="1">
        <f t="array" ref="AL469">IF(getColor(V469) = 16777215, 0, 1)</f>
        <v>0</v>
      </c>
    </row>
    <row r="470" spans="1:38">
      <c r="A470" s="1">
        <v>469</v>
      </c>
      <c r="B470" s="3" t="s">
        <v>27</v>
      </c>
      <c r="C470" s="7" t="s">
        <v>275</v>
      </c>
      <c r="D470" s="7" t="s">
        <v>168</v>
      </c>
      <c r="E470" s="8">
        <v>55.512500000000003</v>
      </c>
      <c r="F470" s="8">
        <v>-133.40833333333333</v>
      </c>
      <c r="G470" s="9" t="s">
        <v>30</v>
      </c>
      <c r="H470" s="3" t="s">
        <v>31</v>
      </c>
      <c r="I470" s="3" t="s">
        <v>31</v>
      </c>
      <c r="J470" s="3" t="s">
        <v>31</v>
      </c>
      <c r="K470" s="7" t="s">
        <v>103</v>
      </c>
      <c r="L470" s="9">
        <v>13</v>
      </c>
      <c r="M470" s="9">
        <v>30</v>
      </c>
      <c r="N470" s="9">
        <f t="shared" si="41"/>
        <v>17</v>
      </c>
      <c r="O470" s="9"/>
      <c r="P470" s="9"/>
      <c r="Q470" s="25"/>
      <c r="R470" s="11">
        <v>0</v>
      </c>
      <c r="S470" s="1">
        <v>1.19</v>
      </c>
      <c r="T470" s="1">
        <f t="shared" si="42"/>
        <v>1.19</v>
      </c>
      <c r="U470" s="12">
        <v>43</v>
      </c>
      <c r="V470" s="13">
        <v>3.0702900000000004</v>
      </c>
      <c r="W470" s="14">
        <f t="shared" si="43"/>
        <v>3540.3821019000002</v>
      </c>
      <c r="X470" s="25"/>
      <c r="Y470" s="14">
        <f t="shared" si="44"/>
        <v>3540.3821019000002</v>
      </c>
      <c r="Z470" s="3"/>
      <c r="AA470" s="11"/>
      <c r="AB470" s="5"/>
      <c r="AC470" s="5"/>
      <c r="AD470" s="28"/>
      <c r="AE470" s="28"/>
      <c r="AF470" s="3"/>
      <c r="AG470" s="7"/>
      <c r="AH470" s="7"/>
      <c r="AI470" s="3" t="s">
        <v>75</v>
      </c>
      <c r="AJ470" s="7" t="s">
        <v>104</v>
      </c>
      <c r="AK470" s="3"/>
      <c r="AL470" cm="1">
        <f t="array" ref="AL470">IF(getColor(V470) = 16777215, 0, 1)</f>
        <v>0</v>
      </c>
    </row>
    <row r="471" spans="1:38">
      <c r="A471" s="1">
        <v>470</v>
      </c>
      <c r="B471" s="3" t="s">
        <v>27</v>
      </c>
      <c r="C471" s="7" t="s">
        <v>275</v>
      </c>
      <c r="D471" s="7" t="s">
        <v>168</v>
      </c>
      <c r="E471" s="8">
        <v>55.512500000000003</v>
      </c>
      <c r="F471" s="8">
        <v>-133.40833333333333</v>
      </c>
      <c r="G471" s="9" t="s">
        <v>30</v>
      </c>
      <c r="H471" s="3" t="s">
        <v>31</v>
      </c>
      <c r="I471" s="3" t="s">
        <v>31</v>
      </c>
      <c r="J471" s="3" t="s">
        <v>31</v>
      </c>
      <c r="K471" s="7" t="s">
        <v>44</v>
      </c>
      <c r="L471" s="9">
        <v>30</v>
      </c>
      <c r="M471" s="9">
        <v>102</v>
      </c>
      <c r="N471" s="9">
        <f t="shared" si="41"/>
        <v>72</v>
      </c>
      <c r="O471" s="9"/>
      <c r="P471" s="9"/>
      <c r="Q471" s="25"/>
      <c r="R471" s="11">
        <v>0</v>
      </c>
      <c r="S471" s="1">
        <v>1.91</v>
      </c>
      <c r="T471" s="1">
        <f t="shared" si="42"/>
        <v>1.91</v>
      </c>
      <c r="U471" s="12">
        <v>36</v>
      </c>
      <c r="V471" s="13">
        <v>1.5737649999999999</v>
      </c>
      <c r="W471" s="14">
        <f t="shared" si="43"/>
        <v>13851.146419199998</v>
      </c>
      <c r="X471" s="25"/>
      <c r="Y471" s="14">
        <f>IF(L471&gt;-100,W471-W471*(ABS(M471)-100)/(ABS(M471)-ABS(L471)),0)</f>
        <v>13466.392351999999</v>
      </c>
      <c r="Z471" s="3"/>
      <c r="AA471" s="11"/>
      <c r="AB471" s="5"/>
      <c r="AC471" s="5"/>
      <c r="AD471" s="28"/>
      <c r="AE471" s="28"/>
      <c r="AF471" s="3"/>
      <c r="AG471" s="7"/>
      <c r="AH471" s="7"/>
      <c r="AI471" s="3" t="s">
        <v>75</v>
      </c>
      <c r="AJ471" s="7" t="s">
        <v>44</v>
      </c>
      <c r="AK471" s="3"/>
      <c r="AL471" cm="1">
        <f t="array" ref="AL471">IF(getColor(V471) = 16777215, 0, 1)</f>
        <v>0</v>
      </c>
    </row>
    <row r="472" spans="1:38">
      <c r="A472" s="1">
        <v>471</v>
      </c>
      <c r="B472" s="3" t="s">
        <v>27</v>
      </c>
      <c r="C472" s="7" t="s">
        <v>276</v>
      </c>
      <c r="D472" s="7" t="s">
        <v>263</v>
      </c>
      <c r="E472" s="8">
        <v>55.52493333333333</v>
      </c>
      <c r="F472" s="8">
        <v>-132.62076666666667</v>
      </c>
      <c r="G472" s="9" t="s">
        <v>30</v>
      </c>
      <c r="H472" s="3" t="s">
        <v>31</v>
      </c>
      <c r="I472" s="3" t="s">
        <v>31</v>
      </c>
      <c r="J472" s="3" t="s">
        <v>31</v>
      </c>
      <c r="K472" s="7" t="s">
        <v>49</v>
      </c>
      <c r="L472" s="9">
        <v>15</v>
      </c>
      <c r="M472" s="9">
        <v>12</v>
      </c>
      <c r="N472" s="9">
        <f t="shared" si="41"/>
        <v>3</v>
      </c>
      <c r="O472" s="29">
        <f>M476</f>
        <v>45</v>
      </c>
      <c r="P472" s="29">
        <f>L472</f>
        <v>15</v>
      </c>
      <c r="Q472" s="29">
        <f>P472+O472</f>
        <v>60</v>
      </c>
      <c r="R472" s="11">
        <v>0</v>
      </c>
      <c r="S472" s="1">
        <v>0.08</v>
      </c>
      <c r="T472" s="1">
        <f t="shared" si="42"/>
        <v>0.08</v>
      </c>
      <c r="U472" s="12">
        <v>0</v>
      </c>
      <c r="V472" s="13">
        <v>47.126055000000001</v>
      </c>
      <c r="W472" s="14">
        <f t="shared" si="43"/>
        <v>1131.02532</v>
      </c>
      <c r="X472" s="14">
        <f>SUM(W472:W476)</f>
        <v>31110.6571047</v>
      </c>
      <c r="Y472" s="14">
        <f t="shared" ref="Y472:Y501" si="45">T472*V472/100*N472*100*100*((100-U472)/100)</f>
        <v>1131.02532</v>
      </c>
      <c r="Z472" s="15">
        <f>SUM(Y472:Y476)/10^6*10^4</f>
        <v>311.10657104699999</v>
      </c>
      <c r="AA472" s="16">
        <v>54.369842755516522</v>
      </c>
      <c r="AB472" s="5"/>
      <c r="AC472" s="5"/>
      <c r="AD472" s="28"/>
      <c r="AE472" s="28"/>
      <c r="AF472" s="3"/>
      <c r="AG472" s="7"/>
      <c r="AH472" s="7"/>
      <c r="AI472" s="3" t="s">
        <v>107</v>
      </c>
      <c r="AJ472" s="7" t="s">
        <v>60</v>
      </c>
      <c r="AK472" s="3"/>
      <c r="AL472" cm="1">
        <f t="array" ref="AL472">IF(getColor(V472) = 16777215, 0, 1)</f>
        <v>0</v>
      </c>
    </row>
    <row r="473" spans="1:38">
      <c r="A473" s="1">
        <v>472</v>
      </c>
      <c r="B473" s="3" t="s">
        <v>27</v>
      </c>
      <c r="C473" s="7" t="s">
        <v>276</v>
      </c>
      <c r="D473" s="7" t="s">
        <v>263</v>
      </c>
      <c r="E473" s="8">
        <v>55.52493333333333</v>
      </c>
      <c r="F473" s="8">
        <v>-132.62076666666667</v>
      </c>
      <c r="G473" s="9" t="s">
        <v>30</v>
      </c>
      <c r="H473" s="3" t="s">
        <v>31</v>
      </c>
      <c r="I473" s="3" t="s">
        <v>31</v>
      </c>
      <c r="J473" s="3" t="s">
        <v>31</v>
      </c>
      <c r="K473" s="7" t="s">
        <v>51</v>
      </c>
      <c r="L473" s="9">
        <v>12</v>
      </c>
      <c r="M473" s="9">
        <v>0</v>
      </c>
      <c r="N473" s="9">
        <f t="shared" si="41"/>
        <v>12</v>
      </c>
      <c r="O473" s="9"/>
      <c r="P473" s="9"/>
      <c r="Q473" s="25"/>
      <c r="R473" s="11">
        <v>0</v>
      </c>
      <c r="S473" s="1">
        <v>0.12</v>
      </c>
      <c r="T473" s="1">
        <f t="shared" si="42"/>
        <v>0.12</v>
      </c>
      <c r="U473" s="12">
        <v>0</v>
      </c>
      <c r="V473" s="13">
        <v>27.55537</v>
      </c>
      <c r="W473" s="14">
        <f t="shared" si="43"/>
        <v>3967.9732800000002</v>
      </c>
      <c r="X473" s="25"/>
      <c r="Y473" s="14">
        <f t="shared" si="45"/>
        <v>3967.9732800000002</v>
      </c>
      <c r="Z473" s="3"/>
      <c r="AA473" s="11"/>
      <c r="AB473" s="5"/>
      <c r="AC473" s="5"/>
      <c r="AD473" s="28"/>
      <c r="AE473" s="28"/>
      <c r="AF473" s="3"/>
      <c r="AG473" s="7"/>
      <c r="AH473" s="7"/>
      <c r="AI473" s="3" t="s">
        <v>107</v>
      </c>
      <c r="AJ473" s="7" t="s">
        <v>67</v>
      </c>
      <c r="AK473" s="3"/>
      <c r="AL473" cm="1">
        <f t="array" ref="AL473">IF(getColor(V473) = 16777215, 0, 1)</f>
        <v>0</v>
      </c>
    </row>
    <row r="474" spans="1:38">
      <c r="A474" s="1">
        <v>473</v>
      </c>
      <c r="B474" s="3" t="s">
        <v>27</v>
      </c>
      <c r="C474" s="7" t="s">
        <v>276</v>
      </c>
      <c r="D474" s="7" t="s">
        <v>263</v>
      </c>
      <c r="E474" s="8">
        <v>55.52493333333333</v>
      </c>
      <c r="F474" s="8">
        <v>-132.62076666666667</v>
      </c>
      <c r="G474" s="9" t="s">
        <v>30</v>
      </c>
      <c r="H474" s="3" t="s">
        <v>31</v>
      </c>
      <c r="I474" s="3" t="s">
        <v>31</v>
      </c>
      <c r="J474" s="3" t="s">
        <v>31</v>
      </c>
      <c r="K474" s="7" t="s">
        <v>47</v>
      </c>
      <c r="L474" s="9">
        <v>0</v>
      </c>
      <c r="M474" s="9">
        <v>3</v>
      </c>
      <c r="N474" s="9">
        <f t="shared" si="41"/>
        <v>3</v>
      </c>
      <c r="O474" s="9"/>
      <c r="P474" s="9"/>
      <c r="Q474" s="25"/>
      <c r="R474" s="11">
        <v>0</v>
      </c>
      <c r="S474" s="1">
        <v>0.93</v>
      </c>
      <c r="T474" s="1">
        <f t="shared" si="42"/>
        <v>0.93</v>
      </c>
      <c r="U474" s="12">
        <v>3</v>
      </c>
      <c r="V474" s="13">
        <v>9.1336300000000019</v>
      </c>
      <c r="W474" s="14">
        <f t="shared" si="43"/>
        <v>2471.8342869000007</v>
      </c>
      <c r="X474" s="25"/>
      <c r="Y474" s="14">
        <f t="shared" si="45"/>
        <v>2471.8342869000007</v>
      </c>
      <c r="Z474" s="3"/>
      <c r="AA474" s="11"/>
      <c r="AB474" s="5"/>
      <c r="AC474" s="5"/>
      <c r="AD474" s="28"/>
      <c r="AE474" s="28"/>
      <c r="AF474" s="3"/>
      <c r="AG474" s="7"/>
      <c r="AH474" s="7"/>
      <c r="AI474" s="3" t="s">
        <v>107</v>
      </c>
      <c r="AJ474" s="7" t="s">
        <v>47</v>
      </c>
      <c r="AK474" s="3"/>
      <c r="AL474" cm="1">
        <f t="array" ref="AL474">IF(getColor(V474) = 16777215, 0, 1)</f>
        <v>0</v>
      </c>
    </row>
    <row r="475" spans="1:38">
      <c r="A475" s="1">
        <v>474</v>
      </c>
      <c r="B475" s="3" t="s">
        <v>27</v>
      </c>
      <c r="C475" s="7" t="s">
        <v>276</v>
      </c>
      <c r="D475" s="7" t="s">
        <v>263</v>
      </c>
      <c r="E475" s="8">
        <v>55.52493333333333</v>
      </c>
      <c r="F475" s="8">
        <v>-132.62076666666667</v>
      </c>
      <c r="G475" s="9" t="s">
        <v>30</v>
      </c>
      <c r="H475" s="3" t="s">
        <v>31</v>
      </c>
      <c r="I475" s="3" t="s">
        <v>31</v>
      </c>
      <c r="J475" s="3" t="s">
        <v>31</v>
      </c>
      <c r="K475" s="7" t="s">
        <v>77</v>
      </c>
      <c r="L475" s="9">
        <v>3</v>
      </c>
      <c r="M475" s="9">
        <v>12</v>
      </c>
      <c r="N475" s="9">
        <f t="shared" si="41"/>
        <v>9</v>
      </c>
      <c r="O475" s="9"/>
      <c r="P475" s="9"/>
      <c r="Q475" s="25"/>
      <c r="R475" s="11">
        <v>0</v>
      </c>
      <c r="S475" s="1">
        <v>0.86</v>
      </c>
      <c r="T475" s="1">
        <f t="shared" si="42"/>
        <v>0.86</v>
      </c>
      <c r="U475" s="12">
        <v>11</v>
      </c>
      <c r="V475" s="13">
        <v>8.6026050000000005</v>
      </c>
      <c r="W475" s="14">
        <f t="shared" si="43"/>
        <v>5925.9904803000009</v>
      </c>
      <c r="X475" s="25"/>
      <c r="Y475" s="14">
        <f t="shared" si="45"/>
        <v>5925.9904803000009</v>
      </c>
      <c r="Z475" s="3"/>
      <c r="AA475" s="11"/>
      <c r="AB475" s="5"/>
      <c r="AC475" s="5"/>
      <c r="AD475" s="28"/>
      <c r="AE475" s="28"/>
      <c r="AF475" s="3"/>
      <c r="AG475" s="7"/>
      <c r="AH475" s="7"/>
      <c r="AI475" s="3" t="s">
        <v>107</v>
      </c>
      <c r="AJ475" s="7" t="s">
        <v>78</v>
      </c>
      <c r="AK475" s="3"/>
      <c r="AL475" cm="1">
        <f t="array" ref="AL475">IF(getColor(V475) = 16777215, 0, 1)</f>
        <v>0</v>
      </c>
    </row>
    <row r="476" spans="1:38">
      <c r="A476" s="1">
        <v>475</v>
      </c>
      <c r="B476" s="3" t="s">
        <v>27</v>
      </c>
      <c r="C476" s="7" t="s">
        <v>276</v>
      </c>
      <c r="D476" s="7" t="s">
        <v>263</v>
      </c>
      <c r="E476" s="8">
        <v>55.52493333333333</v>
      </c>
      <c r="F476" s="8">
        <v>-132.62076666666667</v>
      </c>
      <c r="G476" s="9" t="s">
        <v>30</v>
      </c>
      <c r="H476" s="3" t="s">
        <v>31</v>
      </c>
      <c r="I476" s="3" t="s">
        <v>31</v>
      </c>
      <c r="J476" s="3" t="s">
        <v>31</v>
      </c>
      <c r="K476" s="7" t="s">
        <v>41</v>
      </c>
      <c r="L476" s="9">
        <v>12</v>
      </c>
      <c r="M476" s="9">
        <v>45</v>
      </c>
      <c r="N476" s="9">
        <f t="shared" si="41"/>
        <v>33</v>
      </c>
      <c r="O476" s="9"/>
      <c r="P476" s="9"/>
      <c r="Q476" s="25"/>
      <c r="R476" s="11">
        <v>0</v>
      </c>
      <c r="S476" s="1">
        <v>1.17</v>
      </c>
      <c r="T476" s="1">
        <f t="shared" si="42"/>
        <v>1.17</v>
      </c>
      <c r="U476" s="12">
        <v>37</v>
      </c>
      <c r="V476" s="13">
        <v>7.24125</v>
      </c>
      <c r="W476" s="14">
        <f t="shared" si="43"/>
        <v>17613.833737499997</v>
      </c>
      <c r="X476" s="25"/>
      <c r="Y476" s="14">
        <f t="shared" si="45"/>
        <v>17613.833737499997</v>
      </c>
      <c r="Z476" s="3"/>
      <c r="AA476" s="11"/>
      <c r="AB476" s="5"/>
      <c r="AC476" s="5"/>
      <c r="AD476" s="28"/>
      <c r="AE476" s="28"/>
      <c r="AF476" s="3"/>
      <c r="AG476" s="7"/>
      <c r="AH476" s="7"/>
      <c r="AI476" s="3" t="s">
        <v>107</v>
      </c>
      <c r="AJ476" s="7" t="s">
        <v>61</v>
      </c>
      <c r="AK476" s="3"/>
      <c r="AL476" cm="1">
        <f t="array" ref="AL476">IF(getColor(V476) = 16777215, 0, 1)</f>
        <v>0</v>
      </c>
    </row>
    <row r="477" spans="1:38">
      <c r="A477" s="1">
        <v>476</v>
      </c>
      <c r="B477" s="3" t="s">
        <v>27</v>
      </c>
      <c r="C477" s="7" t="s">
        <v>277</v>
      </c>
      <c r="D477" s="7" t="s">
        <v>278</v>
      </c>
      <c r="E477" s="8">
        <v>55.52493333333333</v>
      </c>
      <c r="F477" s="8">
        <v>-133.36660000000001</v>
      </c>
      <c r="G477" s="9" t="s">
        <v>30</v>
      </c>
      <c r="H477" s="3" t="s">
        <v>31</v>
      </c>
      <c r="I477" s="3" t="s">
        <v>31</v>
      </c>
      <c r="J477" s="3" t="s">
        <v>31</v>
      </c>
      <c r="K477" s="7" t="s">
        <v>51</v>
      </c>
      <c r="L477" s="9">
        <v>9</v>
      </c>
      <c r="M477" s="9">
        <v>0</v>
      </c>
      <c r="N477" s="9">
        <f t="shared" si="41"/>
        <v>9</v>
      </c>
      <c r="O477" s="29">
        <f>M481</f>
        <v>21</v>
      </c>
      <c r="P477" s="29">
        <f>L477</f>
        <v>9</v>
      </c>
      <c r="Q477" s="29">
        <f>P477+O477</f>
        <v>30</v>
      </c>
      <c r="R477" s="11">
        <v>0</v>
      </c>
      <c r="S477" s="1">
        <v>0.12</v>
      </c>
      <c r="T477" s="1">
        <f t="shared" si="42"/>
        <v>0.12</v>
      </c>
      <c r="U477" s="12"/>
      <c r="V477" s="31">
        <v>40.639330342105275</v>
      </c>
      <c r="W477" s="14">
        <f t="shared" si="43"/>
        <v>4389.0476769473689</v>
      </c>
      <c r="X477" s="14">
        <f>SUM(W477:W481)</f>
        <v>14204.615676947371</v>
      </c>
      <c r="Y477" s="14">
        <f t="shared" si="45"/>
        <v>4389.0476769473689</v>
      </c>
      <c r="Z477" s="15">
        <f>SUM(Y477:Y481)/10^6*10^4</f>
        <v>142.04615676947373</v>
      </c>
      <c r="AA477" s="16">
        <v>30.990106819765373</v>
      </c>
      <c r="AB477" s="5"/>
      <c r="AC477" s="5"/>
      <c r="AD477" s="28"/>
      <c r="AE477" s="28"/>
      <c r="AF477" s="3"/>
      <c r="AG477" s="7"/>
      <c r="AH477" s="7"/>
      <c r="AI477" s="3" t="s">
        <v>59</v>
      </c>
      <c r="AJ477" s="7" t="s">
        <v>67</v>
      </c>
      <c r="AK477" s="3"/>
      <c r="AL477" cm="1">
        <f t="array" ref="AL477">IF(getColor(V477) = 16777215, 0, 1)</f>
        <v>1</v>
      </c>
    </row>
    <row r="478" spans="1:38">
      <c r="A478" s="1">
        <v>477</v>
      </c>
      <c r="B478" s="3" t="s">
        <v>27</v>
      </c>
      <c r="C478" s="7" t="s">
        <v>277</v>
      </c>
      <c r="D478" s="7" t="s">
        <v>278</v>
      </c>
      <c r="E478" s="8">
        <v>55.52493333333333</v>
      </c>
      <c r="F478" s="8">
        <v>-133.36660000000001</v>
      </c>
      <c r="G478" s="9" t="s">
        <v>30</v>
      </c>
      <c r="H478" s="3" t="s">
        <v>31</v>
      </c>
      <c r="I478" s="3" t="s">
        <v>31</v>
      </c>
      <c r="J478" s="3" t="s">
        <v>31</v>
      </c>
      <c r="K478" s="7" t="s">
        <v>47</v>
      </c>
      <c r="L478" s="9">
        <v>0</v>
      </c>
      <c r="M478" s="9">
        <v>4</v>
      </c>
      <c r="N478" s="9">
        <f t="shared" si="41"/>
        <v>4</v>
      </c>
      <c r="O478" s="9"/>
      <c r="P478" s="9"/>
      <c r="Q478" s="25"/>
      <c r="R478" s="11">
        <v>0</v>
      </c>
      <c r="S478" s="1">
        <v>0.93</v>
      </c>
      <c r="T478" s="1">
        <f t="shared" si="42"/>
        <v>0.93</v>
      </c>
      <c r="U478" s="12">
        <v>1</v>
      </c>
      <c r="V478" s="13">
        <v>16.170000000000002</v>
      </c>
      <c r="W478" s="14">
        <f t="shared" si="43"/>
        <v>5955.0876000000007</v>
      </c>
      <c r="X478" s="18"/>
      <c r="Y478" s="14">
        <f t="shared" si="45"/>
        <v>5955.0876000000007</v>
      </c>
      <c r="Z478" s="3"/>
      <c r="AA478" s="3"/>
      <c r="AB478" s="5"/>
      <c r="AC478" s="5"/>
      <c r="AD478" s="32"/>
      <c r="AE478" s="32"/>
      <c r="AF478" s="3"/>
      <c r="AG478" s="7"/>
      <c r="AH478" s="7"/>
      <c r="AI478" s="3" t="s">
        <v>59</v>
      </c>
      <c r="AJ478" s="7" t="s">
        <v>47</v>
      </c>
      <c r="AK478" s="3"/>
      <c r="AL478" cm="1">
        <f t="array" ref="AL478">IF(getColor(V478) = 16777215, 0, 1)</f>
        <v>0</v>
      </c>
    </row>
    <row r="479" spans="1:38">
      <c r="A479" s="1">
        <v>478</v>
      </c>
      <c r="B479" s="3" t="s">
        <v>27</v>
      </c>
      <c r="C479" s="7" t="s">
        <v>277</v>
      </c>
      <c r="D479" s="7" t="s">
        <v>278</v>
      </c>
      <c r="E479" s="8">
        <v>55.52493333333333</v>
      </c>
      <c r="F479" s="8">
        <v>-133.36660000000001</v>
      </c>
      <c r="G479" s="9" t="s">
        <v>30</v>
      </c>
      <c r="H479" s="3" t="s">
        <v>31</v>
      </c>
      <c r="I479" s="3" t="s">
        <v>31</v>
      </c>
      <c r="J479" s="3" t="s">
        <v>31</v>
      </c>
      <c r="K479" s="7" t="s">
        <v>77</v>
      </c>
      <c r="L479" s="9">
        <v>4</v>
      </c>
      <c r="M479" s="9">
        <v>10</v>
      </c>
      <c r="N479" s="9">
        <f t="shared" si="41"/>
        <v>6</v>
      </c>
      <c r="O479" s="9"/>
      <c r="P479" s="9"/>
      <c r="Q479" s="25"/>
      <c r="R479" s="11">
        <v>0</v>
      </c>
      <c r="S479" s="1">
        <v>0.86</v>
      </c>
      <c r="T479" s="1">
        <f t="shared" si="42"/>
        <v>0.86</v>
      </c>
      <c r="U479" s="12">
        <v>27</v>
      </c>
      <c r="V479" s="13">
        <v>8.93</v>
      </c>
      <c r="W479" s="14">
        <f t="shared" si="43"/>
        <v>3363.7523999999999</v>
      </c>
      <c r="X479" s="18"/>
      <c r="Y479" s="14">
        <f t="shared" si="45"/>
        <v>3363.7523999999999</v>
      </c>
      <c r="Z479" s="3"/>
      <c r="AA479" s="11"/>
      <c r="AB479" s="5"/>
      <c r="AC479" s="1"/>
      <c r="AD479" s="28"/>
      <c r="AE479" s="28"/>
      <c r="AF479" s="3"/>
      <c r="AG479" s="7"/>
      <c r="AH479" s="7"/>
      <c r="AI479" s="3" t="s">
        <v>59</v>
      </c>
      <c r="AJ479" s="7" t="s">
        <v>78</v>
      </c>
      <c r="AK479" s="3"/>
      <c r="AL479" cm="1">
        <f t="array" ref="AL479">IF(getColor(V479) = 16777215, 0, 1)</f>
        <v>0</v>
      </c>
    </row>
    <row r="480" spans="1:38">
      <c r="A480" s="1">
        <v>479</v>
      </c>
      <c r="B480" s="3" t="s">
        <v>27</v>
      </c>
      <c r="C480" s="7" t="s">
        <v>277</v>
      </c>
      <c r="D480" s="7" t="s">
        <v>278</v>
      </c>
      <c r="E480" s="8">
        <v>55.52493333333333</v>
      </c>
      <c r="F480" s="8">
        <v>-133.36660000000001</v>
      </c>
      <c r="G480" s="9" t="s">
        <v>30</v>
      </c>
      <c r="H480" s="3" t="s">
        <v>31</v>
      </c>
      <c r="I480" s="3" t="s">
        <v>31</v>
      </c>
      <c r="J480" s="3" t="s">
        <v>31</v>
      </c>
      <c r="K480" s="7" t="s">
        <v>110</v>
      </c>
      <c r="L480" s="9">
        <v>10</v>
      </c>
      <c r="M480" s="9">
        <v>11</v>
      </c>
      <c r="N480" s="9">
        <f t="shared" si="41"/>
        <v>1</v>
      </c>
      <c r="O480" s="9"/>
      <c r="P480" s="9"/>
      <c r="Q480" s="25"/>
      <c r="R480" s="11">
        <v>0</v>
      </c>
      <c r="S480" s="1">
        <v>1.17</v>
      </c>
      <c r="T480" s="1">
        <f t="shared" si="42"/>
        <v>1.17</v>
      </c>
      <c r="U480" s="12">
        <v>41</v>
      </c>
      <c r="V480" s="13">
        <v>1.6</v>
      </c>
      <c r="W480" s="14">
        <f t="shared" si="43"/>
        <v>110.44800000000001</v>
      </c>
      <c r="X480" s="18"/>
      <c r="Y480" s="14">
        <f t="shared" si="45"/>
        <v>110.44800000000001</v>
      </c>
      <c r="Z480" s="3"/>
      <c r="AA480" s="11"/>
      <c r="AB480" s="5"/>
      <c r="AC480" s="5"/>
      <c r="AD480" s="28"/>
      <c r="AE480" s="28"/>
      <c r="AF480" s="3"/>
      <c r="AG480" s="7"/>
      <c r="AH480" s="7"/>
      <c r="AI480" s="3" t="s">
        <v>59</v>
      </c>
      <c r="AJ480" s="7" t="s">
        <v>111</v>
      </c>
      <c r="AK480" s="3"/>
      <c r="AL480" cm="1">
        <f t="array" ref="AL480">IF(getColor(V480) = 16777215, 0, 1)</f>
        <v>0</v>
      </c>
    </row>
    <row r="481" spans="1:38">
      <c r="A481" s="1">
        <v>480</v>
      </c>
      <c r="B481" s="3" t="s">
        <v>27</v>
      </c>
      <c r="C481" s="7" t="s">
        <v>277</v>
      </c>
      <c r="D481" s="7" t="s">
        <v>278</v>
      </c>
      <c r="E481" s="8">
        <v>55.52493333333333</v>
      </c>
      <c r="F481" s="8">
        <v>-133.36660000000001</v>
      </c>
      <c r="G481" s="9" t="s">
        <v>30</v>
      </c>
      <c r="H481" s="3" t="s">
        <v>31</v>
      </c>
      <c r="I481" s="3" t="s">
        <v>31</v>
      </c>
      <c r="J481" s="3" t="s">
        <v>31</v>
      </c>
      <c r="K481" s="7" t="s">
        <v>137</v>
      </c>
      <c r="L481" s="9">
        <v>11</v>
      </c>
      <c r="M481" s="27">
        <v>21</v>
      </c>
      <c r="N481" s="9">
        <f t="shared" si="41"/>
        <v>10</v>
      </c>
      <c r="O481" s="9"/>
      <c r="P481" s="9"/>
      <c r="Q481" s="25"/>
      <c r="R481" s="11">
        <v>0</v>
      </c>
      <c r="S481" s="1">
        <v>1.74</v>
      </c>
      <c r="T481" s="1">
        <f t="shared" si="42"/>
        <v>1.74</v>
      </c>
      <c r="U481" s="12">
        <v>63</v>
      </c>
      <c r="V481" s="13">
        <v>0.6</v>
      </c>
      <c r="W481" s="14">
        <f t="shared" si="43"/>
        <v>386.28</v>
      </c>
      <c r="X481" s="18"/>
      <c r="Y481" s="14">
        <f t="shared" si="45"/>
        <v>386.28</v>
      </c>
      <c r="Z481" s="3"/>
      <c r="AA481" s="11"/>
      <c r="AB481" s="5"/>
      <c r="AC481" s="5"/>
      <c r="AD481" s="28"/>
      <c r="AE481" s="28"/>
      <c r="AF481" s="3"/>
      <c r="AG481" s="7"/>
      <c r="AH481" s="7"/>
      <c r="AI481" s="3" t="s">
        <v>59</v>
      </c>
      <c r="AJ481" s="7" t="s">
        <v>137</v>
      </c>
      <c r="AK481" s="3"/>
      <c r="AL481" cm="1">
        <f t="array" ref="AL481">IF(getColor(V481) = 16777215, 0, 1)</f>
        <v>0</v>
      </c>
    </row>
    <row r="482" spans="1:38">
      <c r="A482" s="1">
        <v>481</v>
      </c>
      <c r="B482" s="3" t="s">
        <v>27</v>
      </c>
      <c r="C482" s="7" t="s">
        <v>279</v>
      </c>
      <c r="D482" s="7" t="s">
        <v>145</v>
      </c>
      <c r="E482" s="8">
        <v>55.674933333333335</v>
      </c>
      <c r="F482" s="8">
        <v>-132.45833333333331</v>
      </c>
      <c r="G482" s="9" t="s">
        <v>30</v>
      </c>
      <c r="H482" s="3" t="s">
        <v>31</v>
      </c>
      <c r="I482" s="3" t="s">
        <v>31</v>
      </c>
      <c r="J482" s="3" t="s">
        <v>31</v>
      </c>
      <c r="K482" s="7" t="s">
        <v>49</v>
      </c>
      <c r="L482" s="9">
        <v>0</v>
      </c>
      <c r="M482" s="9">
        <v>8</v>
      </c>
      <c r="N482" s="9">
        <f t="shared" si="41"/>
        <v>8</v>
      </c>
      <c r="O482" s="10">
        <f>M484-P482</f>
        <v>5</v>
      </c>
      <c r="P482" s="10">
        <f>M483</f>
        <v>18</v>
      </c>
      <c r="Q482" s="10">
        <f>O482+P482</f>
        <v>23</v>
      </c>
      <c r="R482" s="11">
        <v>0</v>
      </c>
      <c r="S482" s="1">
        <v>0.08</v>
      </c>
      <c r="T482" s="1">
        <f t="shared" si="42"/>
        <v>0.08</v>
      </c>
      <c r="U482" s="12">
        <v>0</v>
      </c>
      <c r="V482" s="13">
        <v>45.55</v>
      </c>
      <c r="W482" s="14">
        <f t="shared" si="43"/>
        <v>2915.2000000000003</v>
      </c>
      <c r="X482" s="14">
        <f>SUM(W482:W484)</f>
        <v>14480.32</v>
      </c>
      <c r="Y482" s="14">
        <f t="shared" si="45"/>
        <v>2915.2000000000003</v>
      </c>
      <c r="Z482" s="15">
        <f>SUM(Y482:Y484)/10^6*10^4</f>
        <v>144.8032</v>
      </c>
      <c r="AA482" s="16">
        <v>36.48535006064678</v>
      </c>
      <c r="AB482" s="5"/>
      <c r="AC482" s="5"/>
      <c r="AD482" s="28"/>
      <c r="AE482" s="28"/>
      <c r="AF482" s="3"/>
      <c r="AG482" s="7"/>
      <c r="AH482" s="7"/>
      <c r="AI482" s="3" t="s">
        <v>146</v>
      </c>
      <c r="AJ482" s="7" t="s">
        <v>60</v>
      </c>
      <c r="AK482" s="3"/>
      <c r="AL482" cm="1">
        <f t="array" ref="AL482">IF(getColor(V482) = 16777215, 0, 1)</f>
        <v>0</v>
      </c>
    </row>
    <row r="483" spans="1:38">
      <c r="A483" s="1">
        <v>482</v>
      </c>
      <c r="B483" s="3" t="s">
        <v>27</v>
      </c>
      <c r="C483" s="7" t="s">
        <v>279</v>
      </c>
      <c r="D483" s="7" t="s">
        <v>145</v>
      </c>
      <c r="E483" s="8">
        <v>55.674933333333335</v>
      </c>
      <c r="F483" s="8">
        <v>-132.45833333333331</v>
      </c>
      <c r="G483" s="9" t="s">
        <v>30</v>
      </c>
      <c r="H483" s="3" t="s">
        <v>31</v>
      </c>
      <c r="I483" s="3" t="s">
        <v>31</v>
      </c>
      <c r="J483" s="3" t="s">
        <v>31</v>
      </c>
      <c r="K483" s="7" t="s">
        <v>52</v>
      </c>
      <c r="L483" s="9">
        <v>8</v>
      </c>
      <c r="M483" s="9">
        <v>18</v>
      </c>
      <c r="N483" s="9">
        <f t="shared" si="41"/>
        <v>10</v>
      </c>
      <c r="O483" s="9"/>
      <c r="P483" s="9"/>
      <c r="Q483" s="25"/>
      <c r="R483" s="11">
        <v>0</v>
      </c>
      <c r="S483" s="1">
        <v>0.15</v>
      </c>
      <c r="T483" s="1">
        <f t="shared" si="42"/>
        <v>0.15</v>
      </c>
      <c r="U483" s="12">
        <v>0</v>
      </c>
      <c r="V483" s="13">
        <v>45.92</v>
      </c>
      <c r="W483" s="14">
        <f t="shared" si="43"/>
        <v>6888</v>
      </c>
      <c r="X483" s="18"/>
      <c r="Y483" s="14">
        <f t="shared" si="45"/>
        <v>6888</v>
      </c>
      <c r="Z483" s="3"/>
      <c r="AA483" s="11"/>
      <c r="AB483" s="5"/>
      <c r="AC483" s="5"/>
      <c r="AD483" s="28"/>
      <c r="AE483" s="28"/>
      <c r="AF483" s="3"/>
      <c r="AG483" s="7"/>
      <c r="AH483" s="7"/>
      <c r="AI483" s="3" t="s">
        <v>146</v>
      </c>
      <c r="AJ483" s="7" t="s">
        <v>76</v>
      </c>
      <c r="AK483" s="3"/>
      <c r="AL483" cm="1">
        <f t="array" ref="AL483">IF(getColor(V483) = 16777215, 0, 1)</f>
        <v>0</v>
      </c>
    </row>
    <row r="484" spans="1:38">
      <c r="A484" s="1">
        <v>483</v>
      </c>
      <c r="B484" s="3" t="s">
        <v>27</v>
      </c>
      <c r="C484" s="7" t="s">
        <v>279</v>
      </c>
      <c r="D484" s="7" t="s">
        <v>145</v>
      </c>
      <c r="E484" s="8">
        <v>55.674933333333335</v>
      </c>
      <c r="F484" s="8">
        <v>-132.45833333333331</v>
      </c>
      <c r="G484" s="9" t="s">
        <v>30</v>
      </c>
      <c r="H484" s="3" t="s">
        <v>31</v>
      </c>
      <c r="I484" s="3" t="s">
        <v>31</v>
      </c>
      <c r="J484" s="3" t="s">
        <v>31</v>
      </c>
      <c r="K484" s="7" t="s">
        <v>38</v>
      </c>
      <c r="L484" s="9">
        <v>18</v>
      </c>
      <c r="M484" s="9">
        <v>23</v>
      </c>
      <c r="N484" s="9">
        <f t="shared" si="41"/>
        <v>5</v>
      </c>
      <c r="O484" s="9"/>
      <c r="P484" s="9"/>
      <c r="Q484" s="25"/>
      <c r="R484" s="11">
        <v>0</v>
      </c>
      <c r="S484" s="1">
        <v>1.74</v>
      </c>
      <c r="T484" s="1">
        <f t="shared" si="42"/>
        <v>1.74</v>
      </c>
      <c r="U484" s="12">
        <v>4</v>
      </c>
      <c r="V484" s="13">
        <v>5.6</v>
      </c>
      <c r="W484" s="14">
        <f t="shared" si="43"/>
        <v>4677.12</v>
      </c>
      <c r="X484" s="18"/>
      <c r="Y484" s="14">
        <f t="shared" si="45"/>
        <v>4677.12</v>
      </c>
      <c r="Z484" s="3"/>
      <c r="AA484" s="11"/>
      <c r="AB484" s="5"/>
      <c r="AC484" s="5"/>
      <c r="AD484" s="28"/>
      <c r="AE484" s="28"/>
      <c r="AF484" s="3"/>
      <c r="AG484" s="7"/>
      <c r="AH484" s="7"/>
      <c r="AI484" s="3" t="s">
        <v>146</v>
      </c>
      <c r="AJ484" s="7" t="s">
        <v>38</v>
      </c>
      <c r="AK484" s="3"/>
      <c r="AL484" cm="1">
        <f t="array" ref="AL484">IF(getColor(V484) = 16777215, 0, 1)</f>
        <v>0</v>
      </c>
    </row>
    <row r="485" spans="1:38">
      <c r="A485" s="1">
        <v>484</v>
      </c>
      <c r="B485" s="3" t="s">
        <v>27</v>
      </c>
      <c r="C485" s="7" t="s">
        <v>280</v>
      </c>
      <c r="D485" s="7" t="s">
        <v>281</v>
      </c>
      <c r="E485" s="8">
        <v>55.708333333333336</v>
      </c>
      <c r="F485" s="8">
        <v>-132.71249999999998</v>
      </c>
      <c r="G485" s="9" t="s">
        <v>30</v>
      </c>
      <c r="H485" s="3" t="s">
        <v>31</v>
      </c>
      <c r="I485" s="3" t="s">
        <v>31</v>
      </c>
      <c r="J485" s="3" t="s">
        <v>31</v>
      </c>
      <c r="K485" s="7" t="s">
        <v>172</v>
      </c>
      <c r="L485" s="9">
        <v>15</v>
      </c>
      <c r="M485" s="9">
        <v>5</v>
      </c>
      <c r="N485" s="9">
        <f t="shared" si="41"/>
        <v>10</v>
      </c>
      <c r="O485" s="29">
        <f>M491</f>
        <v>28</v>
      </c>
      <c r="P485" s="29">
        <f>L485</f>
        <v>15</v>
      </c>
      <c r="Q485" s="29">
        <f>P485+O485</f>
        <v>43</v>
      </c>
      <c r="R485" s="11">
        <v>0</v>
      </c>
      <c r="S485" s="1">
        <v>0.14000000000000001</v>
      </c>
      <c r="T485" s="1">
        <f t="shared" si="42"/>
        <v>0.14000000000000001</v>
      </c>
      <c r="U485" s="12">
        <v>0</v>
      </c>
      <c r="V485" s="13">
        <v>56.858295000000005</v>
      </c>
      <c r="W485" s="14">
        <f t="shared" si="43"/>
        <v>7960.1613000000016</v>
      </c>
      <c r="X485" s="14">
        <f>SUM(W485:W491)</f>
        <v>25590.727924899998</v>
      </c>
      <c r="Y485" s="14">
        <f t="shared" si="45"/>
        <v>7960.1613000000016</v>
      </c>
      <c r="Z485" s="15">
        <f>SUM(Y485:Y491)/10^6*10^4</f>
        <v>255.90727924899997</v>
      </c>
      <c r="AA485" s="16">
        <v>59.650069654978836</v>
      </c>
      <c r="AB485" s="5"/>
      <c r="AC485" s="5"/>
      <c r="AD485" s="28"/>
      <c r="AE485" s="28"/>
      <c r="AF485" s="3"/>
      <c r="AG485" s="7"/>
      <c r="AH485" s="7"/>
      <c r="AI485" s="3" t="s">
        <v>75</v>
      </c>
      <c r="AJ485" s="7" t="s">
        <v>172</v>
      </c>
      <c r="AK485" s="3"/>
      <c r="AL485" cm="1">
        <f t="array" ref="AL485">IF(getColor(V485) = 16777215, 0, 1)</f>
        <v>0</v>
      </c>
    </row>
    <row r="486" spans="1:38">
      <c r="A486" s="1">
        <v>485</v>
      </c>
      <c r="B486" s="3" t="s">
        <v>27</v>
      </c>
      <c r="C486" s="7" t="s">
        <v>280</v>
      </c>
      <c r="D486" s="7" t="s">
        <v>281</v>
      </c>
      <c r="E486" s="8">
        <v>55.708333333333336</v>
      </c>
      <c r="F486" s="8">
        <v>-132.71249999999998</v>
      </c>
      <c r="G486" s="9" t="s">
        <v>30</v>
      </c>
      <c r="H486" s="3" t="s">
        <v>31</v>
      </c>
      <c r="I486" s="3" t="s">
        <v>31</v>
      </c>
      <c r="J486" s="3" t="s">
        <v>31</v>
      </c>
      <c r="K486" s="7" t="s">
        <v>173</v>
      </c>
      <c r="L486" s="9">
        <v>5</v>
      </c>
      <c r="M486" s="9">
        <v>0</v>
      </c>
      <c r="N486" s="9">
        <f t="shared" si="41"/>
        <v>5</v>
      </c>
      <c r="O486" s="9"/>
      <c r="P486" s="9"/>
      <c r="Q486" s="25"/>
      <c r="R486" s="11">
        <v>0</v>
      </c>
      <c r="S486" s="1">
        <v>0.14000000000000001</v>
      </c>
      <c r="T486" s="1">
        <f t="shared" si="42"/>
        <v>0.14000000000000001</v>
      </c>
      <c r="U486" s="12">
        <v>0</v>
      </c>
      <c r="V486" s="13">
        <v>60.575470000000003</v>
      </c>
      <c r="W486" s="14">
        <f t="shared" si="43"/>
        <v>4240.2829000000002</v>
      </c>
      <c r="X486" s="25"/>
      <c r="Y486" s="14">
        <f t="shared" si="45"/>
        <v>4240.2829000000002</v>
      </c>
      <c r="Z486" s="3"/>
      <c r="AA486" s="3"/>
      <c r="AB486" s="5"/>
      <c r="AC486" s="5"/>
      <c r="AD486" s="28"/>
      <c r="AE486" s="28"/>
      <c r="AF486" s="3"/>
      <c r="AG486" s="7"/>
      <c r="AH486" s="7"/>
      <c r="AI486" s="3" t="s">
        <v>75</v>
      </c>
      <c r="AJ486" s="7" t="s">
        <v>173</v>
      </c>
      <c r="AK486" s="3"/>
      <c r="AL486" cm="1">
        <f t="array" ref="AL486">IF(getColor(V486) = 16777215, 0, 1)</f>
        <v>0</v>
      </c>
    </row>
    <row r="487" spans="1:38">
      <c r="A487" s="1">
        <v>486</v>
      </c>
      <c r="B487" s="3" t="s">
        <v>27</v>
      </c>
      <c r="C487" s="7" t="s">
        <v>280</v>
      </c>
      <c r="D487" s="7" t="s">
        <v>281</v>
      </c>
      <c r="E487" s="8">
        <v>55.708333333333336</v>
      </c>
      <c r="F487" s="8">
        <v>-132.71249999999998</v>
      </c>
      <c r="G487" s="9" t="s">
        <v>30</v>
      </c>
      <c r="H487" s="3" t="s">
        <v>31</v>
      </c>
      <c r="I487" s="3" t="s">
        <v>31</v>
      </c>
      <c r="J487" s="3" t="s">
        <v>31</v>
      </c>
      <c r="K487" s="7" t="s">
        <v>47</v>
      </c>
      <c r="L487" s="9">
        <v>0</v>
      </c>
      <c r="M487" s="9">
        <v>3</v>
      </c>
      <c r="N487" s="9">
        <f t="shared" si="41"/>
        <v>3</v>
      </c>
      <c r="O487" s="9"/>
      <c r="P487" s="9"/>
      <c r="Q487" s="25"/>
      <c r="R487" s="11">
        <v>0</v>
      </c>
      <c r="S487" s="1">
        <v>1.31</v>
      </c>
      <c r="T487" s="1">
        <f t="shared" si="42"/>
        <v>1.31</v>
      </c>
      <c r="U487" s="12">
        <v>1</v>
      </c>
      <c r="V487" s="13">
        <v>5.4261100000000004</v>
      </c>
      <c r="W487" s="14">
        <f t="shared" si="43"/>
        <v>2111.1366177000004</v>
      </c>
      <c r="X487" s="25"/>
      <c r="Y487" s="14">
        <f t="shared" si="45"/>
        <v>2111.1366177000004</v>
      </c>
      <c r="Z487" s="3"/>
      <c r="AA487" s="3"/>
      <c r="AB487" s="5"/>
      <c r="AC487" s="1"/>
      <c r="AD487" s="28"/>
      <c r="AE487" s="28"/>
      <c r="AF487" s="3"/>
      <c r="AG487" s="7"/>
      <c r="AH487" s="7"/>
      <c r="AI487" s="3" t="s">
        <v>75</v>
      </c>
      <c r="AJ487" s="7" t="s">
        <v>47</v>
      </c>
      <c r="AK487" s="3"/>
      <c r="AL487" cm="1">
        <f t="array" ref="AL487">IF(getColor(V487) = 16777215, 0, 1)</f>
        <v>0</v>
      </c>
    </row>
    <row r="488" spans="1:38">
      <c r="A488" s="1">
        <v>487</v>
      </c>
      <c r="B488" s="3" t="s">
        <v>27</v>
      </c>
      <c r="C488" s="7" t="s">
        <v>280</v>
      </c>
      <c r="D488" s="7" t="s">
        <v>281</v>
      </c>
      <c r="E488" s="8">
        <v>55.708333333333336</v>
      </c>
      <c r="F488" s="8">
        <v>-132.71249999999998</v>
      </c>
      <c r="G488" s="9" t="s">
        <v>30</v>
      </c>
      <c r="H488" s="3" t="s">
        <v>31</v>
      </c>
      <c r="I488" s="3" t="s">
        <v>31</v>
      </c>
      <c r="J488" s="3" t="s">
        <v>31</v>
      </c>
      <c r="K488" s="7" t="s">
        <v>101</v>
      </c>
      <c r="L488" s="9">
        <v>3</v>
      </c>
      <c r="M488" s="9">
        <v>5</v>
      </c>
      <c r="N488" s="9">
        <f t="shared" si="41"/>
        <v>2</v>
      </c>
      <c r="O488" s="9"/>
      <c r="P488" s="9"/>
      <c r="Q488" s="25"/>
      <c r="R488" s="11">
        <v>0</v>
      </c>
      <c r="S488" s="1">
        <v>1.19</v>
      </c>
      <c r="T488" s="1">
        <f t="shared" si="42"/>
        <v>1.19</v>
      </c>
      <c r="U488" s="12">
        <v>1</v>
      </c>
      <c r="V488" s="13">
        <v>8.7088099999999997</v>
      </c>
      <c r="W488" s="14">
        <f t="shared" si="43"/>
        <v>2051.9698121999995</v>
      </c>
      <c r="X488" s="25"/>
      <c r="Y488" s="14">
        <f t="shared" si="45"/>
        <v>2051.9698121999995</v>
      </c>
      <c r="Z488" s="3"/>
      <c r="AA488" s="3"/>
      <c r="AB488" s="5"/>
      <c r="AC488" s="1"/>
      <c r="AD488" s="28"/>
      <c r="AE488" s="28"/>
      <c r="AF488" s="3"/>
      <c r="AG488" s="7"/>
      <c r="AH488" s="7"/>
      <c r="AI488" s="3" t="s">
        <v>75</v>
      </c>
      <c r="AJ488" s="7" t="s">
        <v>102</v>
      </c>
      <c r="AK488" s="3"/>
      <c r="AL488" cm="1">
        <f t="array" ref="AL488">IF(getColor(V488) = 16777215, 0, 1)</f>
        <v>0</v>
      </c>
    </row>
    <row r="489" spans="1:38">
      <c r="A489" s="1">
        <v>488</v>
      </c>
      <c r="B489" s="3" t="s">
        <v>27</v>
      </c>
      <c r="C489" s="7" t="s">
        <v>280</v>
      </c>
      <c r="D489" s="7" t="s">
        <v>281</v>
      </c>
      <c r="E489" s="8">
        <v>55.708333333333336</v>
      </c>
      <c r="F489" s="8">
        <v>-132.71249999999998</v>
      </c>
      <c r="G489" s="9" t="s">
        <v>30</v>
      </c>
      <c r="H489" s="3" t="s">
        <v>31</v>
      </c>
      <c r="I489" s="3" t="s">
        <v>31</v>
      </c>
      <c r="J489" s="3" t="s">
        <v>31</v>
      </c>
      <c r="K489" s="7" t="s">
        <v>103</v>
      </c>
      <c r="L489" s="9">
        <v>5</v>
      </c>
      <c r="M489" s="9">
        <v>13</v>
      </c>
      <c r="N489" s="9">
        <f t="shared" si="41"/>
        <v>8</v>
      </c>
      <c r="O489" s="9"/>
      <c r="P489" s="9"/>
      <c r="Q489" s="25"/>
      <c r="R489" s="11">
        <v>0</v>
      </c>
      <c r="S489" s="1">
        <v>1.19</v>
      </c>
      <c r="T489" s="1">
        <f t="shared" si="42"/>
        <v>1.19</v>
      </c>
      <c r="U489" s="12">
        <v>0</v>
      </c>
      <c r="V489" s="13">
        <v>6.4881599999999997</v>
      </c>
      <c r="W489" s="14">
        <f t="shared" si="43"/>
        <v>6176.7283199999983</v>
      </c>
      <c r="X489" s="25"/>
      <c r="Y489" s="14">
        <f t="shared" si="45"/>
        <v>6176.7283199999983</v>
      </c>
      <c r="Z489" s="3"/>
      <c r="AA489" s="3"/>
      <c r="AB489" s="5"/>
      <c r="AC489" s="1"/>
      <c r="AD489" s="28"/>
      <c r="AE489" s="28"/>
      <c r="AF489" s="3"/>
      <c r="AG489" s="7"/>
      <c r="AH489" s="7"/>
      <c r="AI489" s="3" t="s">
        <v>75</v>
      </c>
      <c r="AJ489" s="7" t="s">
        <v>104</v>
      </c>
      <c r="AK489" s="3"/>
      <c r="AL489" cm="1">
        <f t="array" ref="AL489">IF(getColor(V489) = 16777215, 0, 1)</f>
        <v>0</v>
      </c>
    </row>
    <row r="490" spans="1:38">
      <c r="A490" s="1">
        <v>489</v>
      </c>
      <c r="B490" s="3" t="s">
        <v>27</v>
      </c>
      <c r="C490" s="7" t="s">
        <v>280</v>
      </c>
      <c r="D490" s="7" t="s">
        <v>281</v>
      </c>
      <c r="E490" s="8">
        <v>55.708333333333336</v>
      </c>
      <c r="F490" s="8">
        <v>-132.71249999999998</v>
      </c>
      <c r="G490" s="9" t="s">
        <v>30</v>
      </c>
      <c r="H490" s="3" t="s">
        <v>31</v>
      </c>
      <c r="I490" s="3" t="s">
        <v>31</v>
      </c>
      <c r="J490" s="3" t="s">
        <v>31</v>
      </c>
      <c r="K490" s="7" t="s">
        <v>175</v>
      </c>
      <c r="L490" s="9">
        <v>13</v>
      </c>
      <c r="M490" s="9">
        <v>28</v>
      </c>
      <c r="N490" s="9">
        <f t="shared" si="41"/>
        <v>15</v>
      </c>
      <c r="O490" s="9"/>
      <c r="P490" s="9"/>
      <c r="Q490" s="25"/>
      <c r="R490" s="11">
        <v>0</v>
      </c>
      <c r="S490" s="1">
        <v>1.19</v>
      </c>
      <c r="T490" s="1">
        <f t="shared" si="42"/>
        <v>1.19</v>
      </c>
      <c r="U490" s="12">
        <v>0</v>
      </c>
      <c r="V490" s="13">
        <v>1.7089350000000001</v>
      </c>
      <c r="W490" s="14">
        <f t="shared" si="43"/>
        <v>3050.4489749999998</v>
      </c>
      <c r="X490" s="25"/>
      <c r="Y490" s="14">
        <f t="shared" si="45"/>
        <v>3050.4489749999998</v>
      </c>
      <c r="Z490" s="3"/>
      <c r="AA490" s="3"/>
      <c r="AB490" s="5"/>
      <c r="AC490" s="1"/>
      <c r="AD490" s="28"/>
      <c r="AE490" s="28"/>
      <c r="AF490" s="3"/>
      <c r="AG490" s="7"/>
      <c r="AH490" s="7"/>
      <c r="AI490" s="3" t="s">
        <v>75</v>
      </c>
      <c r="AJ490" s="7" t="s">
        <v>175</v>
      </c>
      <c r="AK490" s="3"/>
      <c r="AL490" cm="1">
        <f t="array" ref="AL490">IF(getColor(V490) = 16777215, 0, 1)</f>
        <v>0</v>
      </c>
    </row>
    <row r="491" spans="1:38">
      <c r="A491" s="1">
        <v>490</v>
      </c>
      <c r="B491" s="3" t="s">
        <v>27</v>
      </c>
      <c r="C491" s="7" t="s">
        <v>280</v>
      </c>
      <c r="D491" s="7" t="s">
        <v>281</v>
      </c>
      <c r="E491" s="8">
        <v>55.708333333333336</v>
      </c>
      <c r="F491" s="8">
        <v>-132.71249999999998</v>
      </c>
      <c r="G491" s="9" t="s">
        <v>30</v>
      </c>
      <c r="H491" s="3" t="s">
        <v>31</v>
      </c>
      <c r="I491" s="3" t="s">
        <v>31</v>
      </c>
      <c r="J491" s="3" t="s">
        <v>31</v>
      </c>
      <c r="K491" s="7" t="s">
        <v>38</v>
      </c>
      <c r="L491" s="9">
        <v>28</v>
      </c>
      <c r="M491" s="7">
        <v>28</v>
      </c>
      <c r="N491" s="9">
        <f t="shared" si="41"/>
        <v>0</v>
      </c>
      <c r="O491" s="7"/>
      <c r="P491" s="7"/>
      <c r="Q491" s="7"/>
      <c r="R491" s="11">
        <v>0</v>
      </c>
      <c r="S491" s="1">
        <v>1.91</v>
      </c>
      <c r="T491" s="1">
        <f t="shared" si="42"/>
        <v>1.91</v>
      </c>
      <c r="U491" s="12">
        <v>0</v>
      </c>
      <c r="V491" s="13">
        <v>0.51171500000000003</v>
      </c>
      <c r="W491" s="14">
        <f t="shared" si="43"/>
        <v>0</v>
      </c>
      <c r="X491" s="25"/>
      <c r="Y491" s="14">
        <f t="shared" si="45"/>
        <v>0</v>
      </c>
      <c r="Z491" s="3"/>
      <c r="AA491" s="3"/>
      <c r="AB491" s="5"/>
      <c r="AC491" s="1"/>
      <c r="AD491" s="28"/>
      <c r="AE491" s="28"/>
      <c r="AF491" s="3"/>
      <c r="AG491" s="7"/>
      <c r="AH491" s="7"/>
      <c r="AI491" s="3" t="s">
        <v>75</v>
      </c>
      <c r="AJ491" s="7" t="s">
        <v>38</v>
      </c>
      <c r="AK491" s="3"/>
      <c r="AL491" cm="1">
        <f t="array" ref="AL491">IF(getColor(V491) = 16777215, 0, 1)</f>
        <v>0</v>
      </c>
    </row>
    <row r="492" spans="1:38">
      <c r="A492" s="1">
        <v>491</v>
      </c>
      <c r="B492" s="3" t="s">
        <v>27</v>
      </c>
      <c r="C492" s="7" t="s">
        <v>282</v>
      </c>
      <c r="D492" s="7" t="s">
        <v>283</v>
      </c>
      <c r="E492" s="8">
        <v>55.704166666666673</v>
      </c>
      <c r="F492" s="8">
        <v>-132.58330000000001</v>
      </c>
      <c r="G492" s="9" t="s">
        <v>30</v>
      </c>
      <c r="H492" s="3" t="s">
        <v>31</v>
      </c>
      <c r="I492" s="3" t="s">
        <v>31</v>
      </c>
      <c r="J492" s="3" t="s">
        <v>31</v>
      </c>
      <c r="K492" s="7" t="s">
        <v>52</v>
      </c>
      <c r="L492" s="9">
        <v>3</v>
      </c>
      <c r="M492" s="9">
        <v>0</v>
      </c>
      <c r="N492" s="9">
        <f t="shared" si="41"/>
        <v>3</v>
      </c>
      <c r="O492" s="29">
        <f>M497</f>
        <v>96</v>
      </c>
      <c r="P492" s="29">
        <f>L492</f>
        <v>3</v>
      </c>
      <c r="Q492" s="29">
        <f>P492+O492</f>
        <v>99</v>
      </c>
      <c r="R492" s="11">
        <v>0</v>
      </c>
      <c r="S492" s="1">
        <v>0.15</v>
      </c>
      <c r="T492" s="1">
        <f t="shared" si="42"/>
        <v>0.15</v>
      </c>
      <c r="U492" s="12">
        <v>0</v>
      </c>
      <c r="V492" s="13">
        <v>12.67</v>
      </c>
      <c r="W492" s="14">
        <f t="shared" si="43"/>
        <v>570.15</v>
      </c>
      <c r="X492" s="14">
        <f>SUM(W492:W497)</f>
        <v>15550.599099999999</v>
      </c>
      <c r="Y492" s="14">
        <f t="shared" si="45"/>
        <v>570.15</v>
      </c>
      <c r="Z492" s="15">
        <f>SUM(Y492:Y497)/10^6*10^4</f>
        <v>155.50599099999999</v>
      </c>
      <c r="AA492" s="16">
        <v>15.172342615247977</v>
      </c>
      <c r="AB492" s="5"/>
      <c r="AC492" s="1"/>
      <c r="AD492" s="28"/>
      <c r="AE492" s="28"/>
      <c r="AF492" s="3"/>
      <c r="AG492" s="7"/>
      <c r="AH492" s="7"/>
      <c r="AI492" s="3" t="s">
        <v>75</v>
      </c>
      <c r="AJ492" s="7" t="s">
        <v>76</v>
      </c>
      <c r="AK492" s="3"/>
      <c r="AL492" cm="1">
        <f t="array" ref="AL492">IF(getColor(V492) = 16777215, 0, 1)</f>
        <v>0</v>
      </c>
    </row>
    <row r="493" spans="1:38">
      <c r="A493" s="1">
        <v>492</v>
      </c>
      <c r="B493" s="3" t="s">
        <v>27</v>
      </c>
      <c r="C493" s="7" t="s">
        <v>282</v>
      </c>
      <c r="D493" s="7" t="s">
        <v>283</v>
      </c>
      <c r="E493" s="8">
        <v>55.704166666666673</v>
      </c>
      <c r="F493" s="8">
        <v>-132.58330000000001</v>
      </c>
      <c r="G493" s="9" t="s">
        <v>30</v>
      </c>
      <c r="H493" s="3" t="s">
        <v>31</v>
      </c>
      <c r="I493" s="3" t="s">
        <v>31</v>
      </c>
      <c r="J493" s="3" t="s">
        <v>31</v>
      </c>
      <c r="K493" s="7" t="s">
        <v>47</v>
      </c>
      <c r="L493" s="9">
        <v>0</v>
      </c>
      <c r="M493" s="9">
        <v>3</v>
      </c>
      <c r="N493" s="9">
        <f t="shared" si="41"/>
        <v>3</v>
      </c>
      <c r="O493" s="9"/>
      <c r="P493" s="9"/>
      <c r="Q493" s="25"/>
      <c r="R493" s="11">
        <v>0</v>
      </c>
      <c r="S493" s="1">
        <v>1.31</v>
      </c>
      <c r="T493" s="1">
        <f t="shared" si="42"/>
        <v>1.31</v>
      </c>
      <c r="U493" s="12">
        <v>4</v>
      </c>
      <c r="V493" s="13">
        <v>5.57</v>
      </c>
      <c r="W493" s="14">
        <f t="shared" si="43"/>
        <v>2101.4495999999999</v>
      </c>
      <c r="X493" s="18"/>
      <c r="Y493" s="14">
        <f t="shared" si="45"/>
        <v>2101.4495999999999</v>
      </c>
      <c r="Z493" s="3"/>
      <c r="AA493" s="3"/>
      <c r="AB493" s="5"/>
      <c r="AC493" s="5"/>
      <c r="AD493" s="28"/>
      <c r="AE493" s="28"/>
      <c r="AF493" s="3"/>
      <c r="AG493" s="7"/>
      <c r="AH493" s="7"/>
      <c r="AI493" s="3" t="s">
        <v>75</v>
      </c>
      <c r="AJ493" s="7" t="s">
        <v>47</v>
      </c>
      <c r="AK493" s="3"/>
      <c r="AL493" cm="1">
        <f t="array" ref="AL493">IF(getColor(V493) = 16777215, 0, 1)</f>
        <v>0</v>
      </c>
    </row>
    <row r="494" spans="1:38">
      <c r="A494" s="1">
        <v>493</v>
      </c>
      <c r="B494" s="3" t="s">
        <v>27</v>
      </c>
      <c r="C494" s="7" t="s">
        <v>282</v>
      </c>
      <c r="D494" s="7" t="s">
        <v>283</v>
      </c>
      <c r="E494" s="8">
        <v>55.704166666666673</v>
      </c>
      <c r="F494" s="8">
        <v>-132.58330000000001</v>
      </c>
      <c r="G494" s="9" t="s">
        <v>30</v>
      </c>
      <c r="H494" s="3" t="s">
        <v>31</v>
      </c>
      <c r="I494" s="3" t="s">
        <v>31</v>
      </c>
      <c r="J494" s="3" t="s">
        <v>31</v>
      </c>
      <c r="K494" s="7" t="s">
        <v>77</v>
      </c>
      <c r="L494" s="9">
        <v>3</v>
      </c>
      <c r="M494" s="9">
        <v>8</v>
      </c>
      <c r="N494" s="9">
        <f t="shared" si="41"/>
        <v>5</v>
      </c>
      <c r="O494" s="9"/>
      <c r="P494" s="9"/>
      <c r="Q494" s="25"/>
      <c r="R494" s="11">
        <v>0</v>
      </c>
      <c r="S494" s="1">
        <v>1.19</v>
      </c>
      <c r="T494" s="1">
        <f t="shared" si="42"/>
        <v>1.19</v>
      </c>
      <c r="U494" s="12">
        <v>31</v>
      </c>
      <c r="V494" s="13">
        <v>6.09</v>
      </c>
      <c r="W494" s="14">
        <f t="shared" si="43"/>
        <v>2500.2494999999999</v>
      </c>
      <c r="X494" s="18"/>
      <c r="Y494" s="14">
        <f t="shared" si="45"/>
        <v>2500.2494999999999</v>
      </c>
      <c r="Z494" s="3"/>
      <c r="AA494" s="3"/>
      <c r="AB494" s="5"/>
      <c r="AC494" s="1"/>
      <c r="AD494" s="28"/>
      <c r="AE494" s="28"/>
      <c r="AF494" s="3"/>
      <c r="AG494" s="7"/>
      <c r="AH494" s="7"/>
      <c r="AI494" s="3" t="s">
        <v>75</v>
      </c>
      <c r="AJ494" s="7" t="s">
        <v>78</v>
      </c>
      <c r="AK494" s="3"/>
      <c r="AL494" cm="1">
        <f t="array" ref="AL494">IF(getColor(V494) = 16777215, 0, 1)</f>
        <v>0</v>
      </c>
    </row>
    <row r="495" spans="1:38">
      <c r="A495" s="1">
        <v>494</v>
      </c>
      <c r="B495" s="3" t="s">
        <v>27</v>
      </c>
      <c r="C495" s="7" t="s">
        <v>282</v>
      </c>
      <c r="D495" s="7" t="s">
        <v>283</v>
      </c>
      <c r="E495" s="8">
        <v>55.704166666666673</v>
      </c>
      <c r="F495" s="8">
        <v>-132.58330000000001</v>
      </c>
      <c r="G495" s="9" t="s">
        <v>30</v>
      </c>
      <c r="H495" s="3" t="s">
        <v>31</v>
      </c>
      <c r="I495" s="3" t="s">
        <v>31</v>
      </c>
      <c r="J495" s="3" t="s">
        <v>31</v>
      </c>
      <c r="K495" s="7" t="s">
        <v>41</v>
      </c>
      <c r="L495" s="9">
        <v>8</v>
      </c>
      <c r="M495" s="9">
        <v>26</v>
      </c>
      <c r="N495" s="9">
        <f t="shared" si="41"/>
        <v>18</v>
      </c>
      <c r="O495" s="9"/>
      <c r="P495" s="9"/>
      <c r="Q495" s="25"/>
      <c r="R495" s="11">
        <v>0</v>
      </c>
      <c r="S495" s="1">
        <v>1.46</v>
      </c>
      <c r="T495" s="1">
        <f t="shared" si="42"/>
        <v>1.46</v>
      </c>
      <c r="U495" s="12">
        <v>37</v>
      </c>
      <c r="V495" s="13">
        <v>3.07</v>
      </c>
      <c r="W495" s="14">
        <f t="shared" si="43"/>
        <v>5082.814800000001</v>
      </c>
      <c r="X495" s="18"/>
      <c r="Y495" s="14">
        <f t="shared" si="45"/>
        <v>5082.814800000001</v>
      </c>
      <c r="Z495" s="3"/>
      <c r="AA495" s="3"/>
      <c r="AB495" s="5"/>
      <c r="AC495" s="1"/>
      <c r="AD495" s="28"/>
      <c r="AE495" s="28"/>
      <c r="AF495" s="3"/>
      <c r="AG495" s="7"/>
      <c r="AH495" s="7"/>
      <c r="AI495" s="3" t="s">
        <v>75</v>
      </c>
      <c r="AJ495" s="7" t="s">
        <v>61</v>
      </c>
      <c r="AK495" s="3"/>
      <c r="AL495" cm="1">
        <f t="array" ref="AL495">IF(getColor(V495) = 16777215, 0, 1)</f>
        <v>0</v>
      </c>
    </row>
    <row r="496" spans="1:38">
      <c r="A496" s="1">
        <v>495</v>
      </c>
      <c r="B496" s="3" t="s">
        <v>27</v>
      </c>
      <c r="C496" s="7" t="s">
        <v>282</v>
      </c>
      <c r="D496" s="7" t="s">
        <v>283</v>
      </c>
      <c r="E496" s="8">
        <v>55.704166666666673</v>
      </c>
      <c r="F496" s="8">
        <v>-132.58330000000001</v>
      </c>
      <c r="G496" s="9" t="s">
        <v>30</v>
      </c>
      <c r="H496" s="3" t="s">
        <v>31</v>
      </c>
      <c r="I496" s="3" t="s">
        <v>31</v>
      </c>
      <c r="J496" s="3" t="s">
        <v>31</v>
      </c>
      <c r="K496" s="7" t="s">
        <v>79</v>
      </c>
      <c r="L496" s="9">
        <v>26</v>
      </c>
      <c r="M496" s="9">
        <v>42</v>
      </c>
      <c r="N496" s="9">
        <f t="shared" si="41"/>
        <v>16</v>
      </c>
      <c r="O496" s="9"/>
      <c r="P496" s="9"/>
      <c r="Q496" s="25"/>
      <c r="R496" s="11">
        <v>0</v>
      </c>
      <c r="S496" s="1">
        <v>1.19</v>
      </c>
      <c r="T496" s="1">
        <f t="shared" si="42"/>
        <v>1.19</v>
      </c>
      <c r="U496" s="12">
        <v>41</v>
      </c>
      <c r="V496" s="13">
        <v>1.78</v>
      </c>
      <c r="W496" s="14">
        <f t="shared" si="43"/>
        <v>1999.5807999999997</v>
      </c>
      <c r="X496" s="18"/>
      <c r="Y496" s="14">
        <f t="shared" si="45"/>
        <v>1999.5807999999997</v>
      </c>
      <c r="Z496" s="3"/>
      <c r="AA496" s="3"/>
      <c r="AB496" s="5"/>
      <c r="AC496" s="1"/>
      <c r="AD496" s="28"/>
      <c r="AE496" s="28"/>
      <c r="AF496" s="3"/>
      <c r="AG496" s="7"/>
      <c r="AH496" s="7"/>
      <c r="AI496" s="3" t="s">
        <v>75</v>
      </c>
      <c r="AJ496" s="7" t="s">
        <v>79</v>
      </c>
      <c r="AK496" s="3"/>
      <c r="AL496" cm="1">
        <f t="array" ref="AL496">IF(getColor(V496) = 16777215, 0, 1)</f>
        <v>0</v>
      </c>
    </row>
    <row r="497" spans="1:38">
      <c r="A497" s="1">
        <v>496</v>
      </c>
      <c r="B497" s="3" t="s">
        <v>27</v>
      </c>
      <c r="C497" s="7" t="s">
        <v>282</v>
      </c>
      <c r="D497" s="7" t="s">
        <v>283</v>
      </c>
      <c r="E497" s="8">
        <v>55.704166666666673</v>
      </c>
      <c r="F497" s="8">
        <v>-132.58330000000001</v>
      </c>
      <c r="G497" s="9" t="s">
        <v>30</v>
      </c>
      <c r="H497" s="3" t="s">
        <v>31</v>
      </c>
      <c r="I497" s="3" t="s">
        <v>31</v>
      </c>
      <c r="J497" s="3" t="s">
        <v>31</v>
      </c>
      <c r="K497" s="7" t="s">
        <v>44</v>
      </c>
      <c r="L497" s="9">
        <v>42</v>
      </c>
      <c r="M497" s="9">
        <v>96</v>
      </c>
      <c r="N497" s="9">
        <f t="shared" si="41"/>
        <v>54</v>
      </c>
      <c r="O497" s="9"/>
      <c r="P497" s="9"/>
      <c r="Q497" s="25"/>
      <c r="R497" s="11">
        <v>0</v>
      </c>
      <c r="S497" s="1">
        <v>1.91</v>
      </c>
      <c r="T497" s="1">
        <f t="shared" si="42"/>
        <v>1.91</v>
      </c>
      <c r="U497" s="12">
        <v>53</v>
      </c>
      <c r="V497" s="13">
        <v>0.68</v>
      </c>
      <c r="W497" s="14">
        <f t="shared" si="43"/>
        <v>3296.3543999999997</v>
      </c>
      <c r="X497" s="18"/>
      <c r="Y497" s="14">
        <f t="shared" si="45"/>
        <v>3296.3543999999997</v>
      </c>
      <c r="Z497" s="3"/>
      <c r="AA497" s="3"/>
      <c r="AB497" s="5"/>
      <c r="AC497" s="1"/>
      <c r="AD497" s="28"/>
      <c r="AE497" s="28"/>
      <c r="AF497" s="3"/>
      <c r="AG497" s="7"/>
      <c r="AH497" s="7"/>
      <c r="AI497" s="3" t="s">
        <v>75</v>
      </c>
      <c r="AJ497" s="7" t="s">
        <v>44</v>
      </c>
      <c r="AK497" s="3"/>
      <c r="AL497" cm="1">
        <f t="array" ref="AL497">IF(getColor(V497) = 16777215, 0, 1)</f>
        <v>0</v>
      </c>
    </row>
    <row r="498" spans="1:38">
      <c r="A498" s="1">
        <v>497</v>
      </c>
      <c r="B498" s="3" t="s">
        <v>27</v>
      </c>
      <c r="C498" s="7" t="s">
        <v>284</v>
      </c>
      <c r="D498" s="7" t="s">
        <v>285</v>
      </c>
      <c r="E498" s="8">
        <v>55.701277777777783</v>
      </c>
      <c r="F498" s="8">
        <v>-132.62932222222221</v>
      </c>
      <c r="G498" s="9" t="s">
        <v>30</v>
      </c>
      <c r="H498" s="3" t="s">
        <v>31</v>
      </c>
      <c r="I498" s="3" t="s">
        <v>31</v>
      </c>
      <c r="J498" s="3" t="s">
        <v>31</v>
      </c>
      <c r="K498" s="7" t="s">
        <v>49</v>
      </c>
      <c r="L498" s="9">
        <v>0</v>
      </c>
      <c r="M498" s="9">
        <v>8</v>
      </c>
      <c r="N498" s="9">
        <f t="shared" si="41"/>
        <v>8</v>
      </c>
      <c r="O498" s="29">
        <v>0</v>
      </c>
      <c r="P498" s="29">
        <v>150</v>
      </c>
      <c r="Q498" s="29">
        <f>P498+O498</f>
        <v>150</v>
      </c>
      <c r="R498" s="17">
        <v>0</v>
      </c>
      <c r="S498" s="1">
        <v>0.08</v>
      </c>
      <c r="T498" s="1">
        <f t="shared" si="42"/>
        <v>0.08</v>
      </c>
      <c r="U498" s="12">
        <v>0</v>
      </c>
      <c r="V498" s="13">
        <v>48.92</v>
      </c>
      <c r="W498" s="14">
        <f t="shared" si="43"/>
        <v>3130.8800000000006</v>
      </c>
      <c r="X498" s="14">
        <f>SUM(W498:W503)</f>
        <v>98563.16</v>
      </c>
      <c r="Y498" s="14">
        <f t="shared" si="45"/>
        <v>3130.8800000000006</v>
      </c>
      <c r="Z498" s="15">
        <f>SUM(Y498:Y503)/10^6*10^4</f>
        <v>667.75160000000005</v>
      </c>
      <c r="AA498" s="16">
        <v>228.02866999999998</v>
      </c>
      <c r="AB498" s="5"/>
      <c r="AC498" s="1"/>
      <c r="AD498" s="28"/>
      <c r="AE498" s="28"/>
      <c r="AF498" s="3"/>
      <c r="AG498" s="7"/>
      <c r="AH498" s="7"/>
      <c r="AI498" s="3" t="s">
        <v>286</v>
      </c>
      <c r="AJ498" s="7" t="s">
        <v>60</v>
      </c>
      <c r="AK498" s="3"/>
      <c r="AL498" cm="1">
        <f t="array" ref="AL498">IF(getColor(V498) = 16777215, 0, 1)</f>
        <v>0</v>
      </c>
    </row>
    <row r="499" spans="1:38">
      <c r="A499" s="1">
        <v>498</v>
      </c>
      <c r="B499" s="3" t="s">
        <v>27</v>
      </c>
      <c r="C499" s="7" t="s">
        <v>284</v>
      </c>
      <c r="D499" s="7" t="s">
        <v>285</v>
      </c>
      <c r="E499" s="8">
        <v>55.701277777777783</v>
      </c>
      <c r="F499" s="8">
        <v>-132.62932222222221</v>
      </c>
      <c r="G499" s="9" t="s">
        <v>30</v>
      </c>
      <c r="H499" s="3" t="s">
        <v>31</v>
      </c>
      <c r="I499" s="3" t="s">
        <v>31</v>
      </c>
      <c r="J499" s="3" t="s">
        <v>31</v>
      </c>
      <c r="K499" s="7" t="s">
        <v>52</v>
      </c>
      <c r="L499" s="9">
        <v>8</v>
      </c>
      <c r="M499" s="9">
        <v>33</v>
      </c>
      <c r="N499" s="9">
        <f t="shared" si="41"/>
        <v>25</v>
      </c>
      <c r="O499" s="9"/>
      <c r="P499" s="9"/>
      <c r="Q499" s="25"/>
      <c r="R499" s="17">
        <v>0</v>
      </c>
      <c r="S499" s="1">
        <v>0.15</v>
      </c>
      <c r="T499" s="1">
        <f t="shared" si="42"/>
        <v>0.15</v>
      </c>
      <c r="U499" s="12">
        <v>0</v>
      </c>
      <c r="V499" s="13">
        <v>52.64</v>
      </c>
      <c r="W499" s="14">
        <f t="shared" si="43"/>
        <v>19740</v>
      </c>
      <c r="X499" s="18"/>
      <c r="Y499" s="14">
        <f t="shared" si="45"/>
        <v>19740</v>
      </c>
      <c r="Z499" s="3"/>
      <c r="AA499" s="3"/>
      <c r="AB499" s="5"/>
      <c r="AC499" s="5"/>
      <c r="AD499" s="28"/>
      <c r="AE499" s="28"/>
      <c r="AF499" s="3"/>
      <c r="AG499" s="7"/>
      <c r="AH499" s="7"/>
      <c r="AI499" s="3" t="s">
        <v>286</v>
      </c>
      <c r="AJ499" s="7" t="s">
        <v>76</v>
      </c>
      <c r="AK499" s="3"/>
      <c r="AL499" cm="1">
        <f t="array" ref="AL499">IF(getColor(V499) = 16777215, 0, 1)</f>
        <v>0</v>
      </c>
    </row>
    <row r="500" spans="1:38">
      <c r="A500" s="1">
        <v>499</v>
      </c>
      <c r="B500" s="3" t="s">
        <v>27</v>
      </c>
      <c r="C500" s="7" t="s">
        <v>284</v>
      </c>
      <c r="D500" s="7" t="s">
        <v>285</v>
      </c>
      <c r="E500" s="8">
        <v>55.701277777777783</v>
      </c>
      <c r="F500" s="8">
        <v>-132.62932222222221</v>
      </c>
      <c r="G500" s="9" t="s">
        <v>30</v>
      </c>
      <c r="H500" s="3" t="s">
        <v>31</v>
      </c>
      <c r="I500" s="3" t="s">
        <v>31</v>
      </c>
      <c r="J500" s="3" t="s">
        <v>31</v>
      </c>
      <c r="K500" s="7" t="s">
        <v>32</v>
      </c>
      <c r="L500" s="9">
        <v>33</v>
      </c>
      <c r="M500" s="9">
        <v>63</v>
      </c>
      <c r="N500" s="9">
        <f t="shared" si="41"/>
        <v>30</v>
      </c>
      <c r="O500" s="9"/>
      <c r="P500" s="9"/>
      <c r="Q500" s="25"/>
      <c r="R500" s="17">
        <v>0</v>
      </c>
      <c r="S500" s="1">
        <v>0.12</v>
      </c>
      <c r="T500" s="1">
        <f t="shared" si="42"/>
        <v>0.12</v>
      </c>
      <c r="U500" s="12">
        <v>0</v>
      </c>
      <c r="V500" s="13">
        <v>55</v>
      </c>
      <c r="W500" s="14">
        <f t="shared" si="43"/>
        <v>19800</v>
      </c>
      <c r="X500" s="18"/>
      <c r="Y500" s="14">
        <f t="shared" si="45"/>
        <v>19800</v>
      </c>
      <c r="Z500" s="3"/>
      <c r="AA500" s="3"/>
      <c r="AB500" s="5"/>
      <c r="AC500" s="1"/>
      <c r="AD500" s="28"/>
      <c r="AE500" s="28"/>
      <c r="AF500" s="3"/>
      <c r="AG500" s="7"/>
      <c r="AH500" s="7"/>
      <c r="AI500" s="3" t="s">
        <v>286</v>
      </c>
      <c r="AJ500" s="7" t="s">
        <v>34</v>
      </c>
      <c r="AK500" s="3"/>
      <c r="AL500" cm="1">
        <f t="array" ref="AL500">IF(getColor(V500) = 16777215, 0, 1)</f>
        <v>0</v>
      </c>
    </row>
    <row r="501" spans="1:38">
      <c r="A501" s="1">
        <v>500</v>
      </c>
      <c r="B501" s="3" t="s">
        <v>27</v>
      </c>
      <c r="C501" s="7" t="s">
        <v>284</v>
      </c>
      <c r="D501" s="7" t="s">
        <v>285</v>
      </c>
      <c r="E501" s="8">
        <v>55.701277777777783</v>
      </c>
      <c r="F501" s="8">
        <v>-132.62932222222221</v>
      </c>
      <c r="G501" s="9" t="s">
        <v>30</v>
      </c>
      <c r="H501" s="3" t="s">
        <v>31</v>
      </c>
      <c r="I501" s="3" t="s">
        <v>31</v>
      </c>
      <c r="J501" s="3" t="s">
        <v>31</v>
      </c>
      <c r="K501" s="7" t="s">
        <v>35</v>
      </c>
      <c r="L501" s="9">
        <v>63</v>
      </c>
      <c r="M501" s="9">
        <v>85</v>
      </c>
      <c r="N501" s="9">
        <f t="shared" si="41"/>
        <v>22</v>
      </c>
      <c r="O501" s="9"/>
      <c r="P501" s="9"/>
      <c r="Q501" s="25"/>
      <c r="R501" s="17">
        <v>0</v>
      </c>
      <c r="S501" s="1">
        <v>0.12</v>
      </c>
      <c r="T501" s="1">
        <f t="shared" si="42"/>
        <v>0.12</v>
      </c>
      <c r="U501" s="12">
        <v>0</v>
      </c>
      <c r="V501" s="13">
        <v>54.82</v>
      </c>
      <c r="W501" s="14">
        <f t="shared" si="43"/>
        <v>14472.48</v>
      </c>
      <c r="X501" s="18"/>
      <c r="Y501" s="14">
        <f t="shared" si="45"/>
        <v>14472.48</v>
      </c>
      <c r="Z501" s="3"/>
      <c r="AA501" s="3"/>
      <c r="AB501" s="5"/>
      <c r="AC501" s="1"/>
      <c r="AD501" s="28"/>
      <c r="AE501" s="28"/>
      <c r="AF501" s="3"/>
      <c r="AG501" s="7"/>
      <c r="AH501" s="7"/>
      <c r="AI501" s="3" t="s">
        <v>286</v>
      </c>
      <c r="AJ501" s="7" t="s">
        <v>36</v>
      </c>
      <c r="AK501" s="3"/>
      <c r="AL501" cm="1">
        <f t="array" ref="AL501">IF(getColor(V501) = 16777215, 0, 1)</f>
        <v>0</v>
      </c>
    </row>
    <row r="502" spans="1:38">
      <c r="A502" s="1">
        <v>501</v>
      </c>
      <c r="B502" s="3" t="s">
        <v>27</v>
      </c>
      <c r="C502" s="7" t="s">
        <v>284</v>
      </c>
      <c r="D502" s="7" t="s">
        <v>285</v>
      </c>
      <c r="E502" s="8">
        <v>55.701277777777783</v>
      </c>
      <c r="F502" s="8">
        <v>-132.62932222222221</v>
      </c>
      <c r="G502" s="9" t="s">
        <v>30</v>
      </c>
      <c r="H502" s="3" t="s">
        <v>31</v>
      </c>
      <c r="I502" s="3" t="s">
        <v>31</v>
      </c>
      <c r="J502" s="3" t="s">
        <v>31</v>
      </c>
      <c r="K502" s="7" t="s">
        <v>37</v>
      </c>
      <c r="L502" s="9">
        <v>85</v>
      </c>
      <c r="M502" s="9">
        <v>125</v>
      </c>
      <c r="N502" s="9">
        <f t="shared" si="41"/>
        <v>40</v>
      </c>
      <c r="O502" s="9"/>
      <c r="P502" s="9"/>
      <c r="Q502" s="25"/>
      <c r="R502" s="17">
        <v>0</v>
      </c>
      <c r="S502" s="1">
        <v>0.12</v>
      </c>
      <c r="T502" s="1">
        <f t="shared" si="42"/>
        <v>0.12</v>
      </c>
      <c r="U502" s="12">
        <v>0</v>
      </c>
      <c r="V502" s="13">
        <v>53.51</v>
      </c>
      <c r="W502" s="14">
        <f t="shared" si="43"/>
        <v>25684.799999999996</v>
      </c>
      <c r="X502" s="18"/>
      <c r="Y502" s="14">
        <f>IF(L502&gt;-100,W502-W502*(ABS(M502)-100)/(ABS(M502)-ABS(L502)),0)</f>
        <v>9631.7999999999993</v>
      </c>
      <c r="Z502" s="3"/>
      <c r="AA502" s="3"/>
      <c r="AB502" s="5"/>
      <c r="AC502" s="1"/>
      <c r="AD502" s="28"/>
      <c r="AE502" s="28"/>
      <c r="AF502" s="3"/>
      <c r="AG502" s="7"/>
      <c r="AH502" s="7"/>
      <c r="AI502" s="3" t="s">
        <v>286</v>
      </c>
      <c r="AJ502" s="7" t="s">
        <v>39</v>
      </c>
      <c r="AK502" s="3"/>
      <c r="AL502" cm="1">
        <f t="array" ref="AL502">IF(getColor(V502) = 16777215, 0, 1)</f>
        <v>0</v>
      </c>
    </row>
    <row r="503" spans="1:38">
      <c r="A503" s="1">
        <v>502</v>
      </c>
      <c r="B503" s="3" t="s">
        <v>27</v>
      </c>
      <c r="C503" s="7" t="s">
        <v>284</v>
      </c>
      <c r="D503" s="7" t="s">
        <v>285</v>
      </c>
      <c r="E503" s="8">
        <v>55.701277777777783</v>
      </c>
      <c r="F503" s="8">
        <v>-132.62932222222221</v>
      </c>
      <c r="G503" s="9" t="s">
        <v>30</v>
      </c>
      <c r="H503" s="3" t="s">
        <v>31</v>
      </c>
      <c r="I503" s="3" t="s">
        <v>31</v>
      </c>
      <c r="J503" s="3" t="s">
        <v>31</v>
      </c>
      <c r="K503" s="7" t="s">
        <v>54</v>
      </c>
      <c r="L503" s="9">
        <v>125</v>
      </c>
      <c r="M503" s="9">
        <v>150</v>
      </c>
      <c r="N503" s="9">
        <f t="shared" si="41"/>
        <v>25</v>
      </c>
      <c r="O503" s="9"/>
      <c r="P503" s="9"/>
      <c r="Q503" s="25"/>
      <c r="R503" s="17">
        <v>0</v>
      </c>
      <c r="S503" s="1">
        <v>0.12</v>
      </c>
      <c r="T503" s="1">
        <f t="shared" si="42"/>
        <v>0.12</v>
      </c>
      <c r="U503" s="12">
        <v>0</v>
      </c>
      <c r="V503" s="13">
        <v>52.45</v>
      </c>
      <c r="W503" s="14">
        <f t="shared" si="43"/>
        <v>15735.000000000002</v>
      </c>
      <c r="X503" s="18"/>
      <c r="Y503" s="14">
        <v>0</v>
      </c>
      <c r="Z503" s="3"/>
      <c r="AA503" s="3"/>
      <c r="AB503" s="5"/>
      <c r="AC503" s="1"/>
      <c r="AD503" s="28"/>
      <c r="AE503" s="28"/>
      <c r="AF503" s="3"/>
      <c r="AG503" s="7"/>
      <c r="AH503" s="7"/>
      <c r="AI503" s="3" t="s">
        <v>286</v>
      </c>
      <c r="AJ503" s="7" t="s">
        <v>55</v>
      </c>
      <c r="AK503" s="3"/>
      <c r="AL503" cm="1">
        <f t="array" ref="AL503">IF(getColor(V503) = 16777215, 0, 1)</f>
        <v>0</v>
      </c>
    </row>
    <row r="504" spans="1:38">
      <c r="A504" s="1">
        <v>503</v>
      </c>
      <c r="B504" s="3" t="s">
        <v>27</v>
      </c>
      <c r="C504" s="7" t="s">
        <v>287</v>
      </c>
      <c r="D504" s="7" t="s">
        <v>191</v>
      </c>
      <c r="E504" s="8">
        <v>55.701277777777783</v>
      </c>
      <c r="F504" s="8">
        <v>-132.62932222222221</v>
      </c>
      <c r="G504" s="9" t="s">
        <v>30</v>
      </c>
      <c r="H504" s="3" t="s">
        <v>31</v>
      </c>
      <c r="I504" s="3" t="s">
        <v>31</v>
      </c>
      <c r="J504" s="3" t="s">
        <v>31</v>
      </c>
      <c r="K504" s="7" t="s">
        <v>49</v>
      </c>
      <c r="L504" s="9">
        <v>0</v>
      </c>
      <c r="M504" s="9">
        <v>7</v>
      </c>
      <c r="N504" s="9">
        <f t="shared" si="41"/>
        <v>7</v>
      </c>
      <c r="O504" s="10">
        <f>M511-P504</f>
        <v>74</v>
      </c>
      <c r="P504" s="10">
        <f>M505</f>
        <v>16</v>
      </c>
      <c r="Q504" s="10">
        <f>O504+P504</f>
        <v>90</v>
      </c>
      <c r="R504" s="17">
        <v>0</v>
      </c>
      <c r="S504" s="1">
        <v>0.08</v>
      </c>
      <c r="T504" s="1">
        <f t="shared" si="42"/>
        <v>0.08</v>
      </c>
      <c r="U504" s="12">
        <v>0</v>
      </c>
      <c r="V504" s="13">
        <v>46.74</v>
      </c>
      <c r="W504" s="14">
        <f t="shared" si="43"/>
        <v>2617.44</v>
      </c>
      <c r="X504" s="14">
        <f>SUM(W504:W511)</f>
        <v>29476.8007</v>
      </c>
      <c r="Y504" s="14">
        <f t="shared" ref="Y504:Y518" si="46">T504*V504/100*N504*100*100*((100-U504)/100)</f>
        <v>2617.44</v>
      </c>
      <c r="Z504" s="15">
        <f>SUM(Y504:Y511)/10^6*10^4</f>
        <v>294.76800700000001</v>
      </c>
      <c r="AA504" s="16">
        <v>71.162017198321379</v>
      </c>
      <c r="AB504" s="5"/>
      <c r="AC504" s="1"/>
      <c r="AD504" s="28"/>
      <c r="AE504" s="28"/>
      <c r="AF504" s="3"/>
      <c r="AG504" s="7"/>
      <c r="AH504" s="7"/>
      <c r="AI504" s="3" t="s">
        <v>59</v>
      </c>
      <c r="AJ504" s="7" t="s">
        <v>60</v>
      </c>
      <c r="AK504" s="3"/>
      <c r="AL504" cm="1">
        <f t="array" ref="AL504">IF(getColor(V504) = 16777215, 0, 1)</f>
        <v>0</v>
      </c>
    </row>
    <row r="505" spans="1:38">
      <c r="A505" s="1">
        <v>504</v>
      </c>
      <c r="B505" s="3" t="s">
        <v>27</v>
      </c>
      <c r="C505" s="7" t="s">
        <v>287</v>
      </c>
      <c r="D505" s="7" t="s">
        <v>191</v>
      </c>
      <c r="E505" s="8">
        <v>55.701277777777783</v>
      </c>
      <c r="F505" s="8">
        <v>-132.62932222222221</v>
      </c>
      <c r="G505" s="9" t="s">
        <v>30</v>
      </c>
      <c r="H505" s="3" t="s">
        <v>31</v>
      </c>
      <c r="I505" s="3" t="s">
        <v>31</v>
      </c>
      <c r="J505" s="3" t="s">
        <v>31</v>
      </c>
      <c r="K505" s="7" t="s">
        <v>51</v>
      </c>
      <c r="L505" s="9">
        <v>7</v>
      </c>
      <c r="M505" s="9">
        <v>16</v>
      </c>
      <c r="N505" s="9">
        <f t="shared" si="41"/>
        <v>9</v>
      </c>
      <c r="O505" s="9"/>
      <c r="P505" s="9"/>
      <c r="Q505" s="25"/>
      <c r="R505" s="17">
        <v>0</v>
      </c>
      <c r="S505" s="1">
        <v>0.12</v>
      </c>
      <c r="T505" s="1">
        <f t="shared" si="42"/>
        <v>0.12</v>
      </c>
      <c r="U505" s="12">
        <v>0</v>
      </c>
      <c r="V505" s="13">
        <v>49.72</v>
      </c>
      <c r="W505" s="14">
        <f t="shared" si="43"/>
        <v>5369.7599999999984</v>
      </c>
      <c r="X505" s="18"/>
      <c r="Y505" s="14">
        <f t="shared" si="46"/>
        <v>5369.7599999999984</v>
      </c>
      <c r="Z505" s="3"/>
      <c r="AA505" s="3"/>
      <c r="AB505" s="5"/>
      <c r="AC505" s="5"/>
      <c r="AD505" s="28"/>
      <c r="AE505" s="28"/>
      <c r="AF505" s="3"/>
      <c r="AG505" s="7"/>
      <c r="AH505" s="7"/>
      <c r="AI505" s="3" t="s">
        <v>59</v>
      </c>
      <c r="AJ505" s="7" t="s">
        <v>67</v>
      </c>
      <c r="AK505" s="3"/>
      <c r="AL505" cm="1">
        <f t="array" ref="AL505">IF(getColor(V505) = 16777215, 0, 1)</f>
        <v>0</v>
      </c>
    </row>
    <row r="506" spans="1:38">
      <c r="A506" s="1">
        <v>505</v>
      </c>
      <c r="B506" s="3" t="s">
        <v>27</v>
      </c>
      <c r="C506" s="7" t="s">
        <v>287</v>
      </c>
      <c r="D506" s="7" t="s">
        <v>191</v>
      </c>
      <c r="E506" s="8">
        <v>55.701277777777783</v>
      </c>
      <c r="F506" s="8">
        <v>-132.62932222222221</v>
      </c>
      <c r="G506" s="9" t="s">
        <v>30</v>
      </c>
      <c r="H506" s="3" t="s">
        <v>31</v>
      </c>
      <c r="I506" s="3" t="s">
        <v>31</v>
      </c>
      <c r="J506" s="3" t="s">
        <v>31</v>
      </c>
      <c r="K506" s="7" t="s">
        <v>47</v>
      </c>
      <c r="L506" s="9">
        <v>16</v>
      </c>
      <c r="M506" s="9">
        <v>21</v>
      </c>
      <c r="N506" s="9">
        <f t="shared" si="41"/>
        <v>5</v>
      </c>
      <c r="O506" s="9"/>
      <c r="P506" s="9"/>
      <c r="Q506" s="25"/>
      <c r="R506" s="17">
        <v>0</v>
      </c>
      <c r="S506" s="1">
        <v>0.93</v>
      </c>
      <c r="T506" s="1">
        <f t="shared" si="42"/>
        <v>0.93</v>
      </c>
      <c r="U506" s="12">
        <v>9</v>
      </c>
      <c r="V506" s="13">
        <v>3.87</v>
      </c>
      <c r="W506" s="14">
        <f t="shared" si="43"/>
        <v>1637.5905</v>
      </c>
      <c r="X506" s="18"/>
      <c r="Y506" s="14">
        <f t="shared" si="46"/>
        <v>1637.5905</v>
      </c>
      <c r="Z506" s="3"/>
      <c r="AA506" s="3"/>
      <c r="AB506" s="5"/>
      <c r="AC506" s="1"/>
      <c r="AD506" s="28"/>
      <c r="AE506" s="28"/>
      <c r="AF506" s="3"/>
      <c r="AG506" s="7"/>
      <c r="AH506" s="7"/>
      <c r="AI506" s="3" t="s">
        <v>59</v>
      </c>
      <c r="AJ506" s="7" t="s">
        <v>47</v>
      </c>
      <c r="AK506" s="3"/>
      <c r="AL506" cm="1">
        <f t="array" ref="AL506">IF(getColor(V506) = 16777215, 0, 1)</f>
        <v>0</v>
      </c>
    </row>
    <row r="507" spans="1:38">
      <c r="A507" s="1">
        <v>506</v>
      </c>
      <c r="B507" s="3" t="s">
        <v>27</v>
      </c>
      <c r="C507" s="7" t="s">
        <v>287</v>
      </c>
      <c r="D507" s="7" t="s">
        <v>191</v>
      </c>
      <c r="E507" s="8">
        <v>55.701277777777783</v>
      </c>
      <c r="F507" s="8">
        <v>-132.62932222222221</v>
      </c>
      <c r="G507" s="9" t="s">
        <v>30</v>
      </c>
      <c r="H507" s="3" t="s">
        <v>31</v>
      </c>
      <c r="I507" s="3" t="s">
        <v>31</v>
      </c>
      <c r="J507" s="3" t="s">
        <v>31</v>
      </c>
      <c r="K507" s="7" t="s">
        <v>77</v>
      </c>
      <c r="L507" s="9">
        <v>21</v>
      </c>
      <c r="M507" s="9">
        <v>29</v>
      </c>
      <c r="N507" s="9">
        <f t="shared" si="41"/>
        <v>8</v>
      </c>
      <c r="O507" s="9"/>
      <c r="P507" s="9"/>
      <c r="Q507" s="25"/>
      <c r="R507" s="11">
        <v>0</v>
      </c>
      <c r="S507" s="1">
        <v>0.86</v>
      </c>
      <c r="T507" s="1">
        <f t="shared" si="42"/>
        <v>0.86</v>
      </c>
      <c r="U507" s="12">
        <v>0</v>
      </c>
      <c r="V507" s="13">
        <v>4.93</v>
      </c>
      <c r="W507" s="14">
        <f t="shared" si="43"/>
        <v>3391.8399999999997</v>
      </c>
      <c r="X507" s="18"/>
      <c r="Y507" s="14">
        <f t="shared" si="46"/>
        <v>3391.8399999999997</v>
      </c>
      <c r="Z507" s="3"/>
      <c r="AA507" s="3"/>
      <c r="AB507" s="5"/>
      <c r="AC507" s="1"/>
      <c r="AD507" s="28"/>
      <c r="AE507" s="28"/>
      <c r="AF507" s="3"/>
      <c r="AG507" s="7"/>
      <c r="AH507" s="7"/>
      <c r="AI507" s="3" t="s">
        <v>59</v>
      </c>
      <c r="AJ507" s="7" t="s">
        <v>78</v>
      </c>
      <c r="AK507" s="3"/>
      <c r="AL507" cm="1">
        <f t="array" ref="AL507">IF(getColor(V507) = 16777215, 0, 1)</f>
        <v>0</v>
      </c>
    </row>
    <row r="508" spans="1:38">
      <c r="A508" s="1">
        <v>507</v>
      </c>
      <c r="B508" s="3" t="s">
        <v>27</v>
      </c>
      <c r="C508" s="7" t="s">
        <v>287</v>
      </c>
      <c r="D508" s="7" t="s">
        <v>191</v>
      </c>
      <c r="E508" s="8">
        <v>55.701277777777783</v>
      </c>
      <c r="F508" s="8">
        <v>-132.62932222222221</v>
      </c>
      <c r="G508" s="9" t="s">
        <v>30</v>
      </c>
      <c r="H508" s="3" t="s">
        <v>31</v>
      </c>
      <c r="I508" s="3" t="s">
        <v>31</v>
      </c>
      <c r="J508" s="3" t="s">
        <v>31</v>
      </c>
      <c r="K508" s="7" t="s">
        <v>77</v>
      </c>
      <c r="L508" s="9">
        <v>29</v>
      </c>
      <c r="M508" s="9">
        <v>47</v>
      </c>
      <c r="N508" s="9">
        <f t="shared" si="41"/>
        <v>18</v>
      </c>
      <c r="O508" s="9"/>
      <c r="P508" s="9"/>
      <c r="Q508" s="25"/>
      <c r="R508" s="11">
        <v>1.1100000000000001</v>
      </c>
      <c r="S508" s="1">
        <v>0.86</v>
      </c>
      <c r="T508" s="1">
        <f t="shared" si="42"/>
        <v>1.1100000000000001</v>
      </c>
      <c r="U508" s="12">
        <v>15</v>
      </c>
      <c r="V508" s="13">
        <v>4.25</v>
      </c>
      <c r="W508" s="14">
        <f t="shared" si="43"/>
        <v>7217.7749999999996</v>
      </c>
      <c r="X508" s="18"/>
      <c r="Y508" s="14">
        <f t="shared" si="46"/>
        <v>7217.7749999999996</v>
      </c>
      <c r="Z508" s="3"/>
      <c r="AA508" s="3"/>
      <c r="AB508" s="5"/>
      <c r="AC508" s="1"/>
      <c r="AD508" s="28"/>
      <c r="AE508" s="28"/>
      <c r="AF508" s="3"/>
      <c r="AG508" s="7"/>
      <c r="AH508" s="7"/>
      <c r="AI508" s="3" t="s">
        <v>59</v>
      </c>
      <c r="AJ508" s="7" t="s">
        <v>78</v>
      </c>
      <c r="AK508" s="3"/>
      <c r="AL508" cm="1">
        <f t="array" ref="AL508">IF(getColor(V508) = 16777215, 0, 1)</f>
        <v>0</v>
      </c>
    </row>
    <row r="509" spans="1:38">
      <c r="A509" s="1">
        <v>508</v>
      </c>
      <c r="B509" s="3" t="s">
        <v>27</v>
      </c>
      <c r="C509" s="7" t="s">
        <v>287</v>
      </c>
      <c r="D509" s="7" t="s">
        <v>191</v>
      </c>
      <c r="E509" s="8">
        <v>55.701277777777783</v>
      </c>
      <c r="F509" s="8">
        <v>-132.62932222222221</v>
      </c>
      <c r="G509" s="9" t="s">
        <v>30</v>
      </c>
      <c r="H509" s="3" t="s">
        <v>31</v>
      </c>
      <c r="I509" s="3" t="s">
        <v>31</v>
      </c>
      <c r="J509" s="3" t="s">
        <v>31</v>
      </c>
      <c r="K509" s="7" t="s">
        <v>184</v>
      </c>
      <c r="L509" s="9">
        <v>47</v>
      </c>
      <c r="M509" s="9">
        <v>65</v>
      </c>
      <c r="N509" s="9">
        <f t="shared" si="41"/>
        <v>18</v>
      </c>
      <c r="O509" s="9"/>
      <c r="P509" s="9"/>
      <c r="Q509" s="25"/>
      <c r="R509" s="11">
        <v>1.72</v>
      </c>
      <c r="S509" s="1">
        <v>1.71</v>
      </c>
      <c r="T509" s="1">
        <f t="shared" si="42"/>
        <v>1.72</v>
      </c>
      <c r="U509" s="12">
        <v>21</v>
      </c>
      <c r="V509" s="13">
        <v>3.07</v>
      </c>
      <c r="W509" s="14">
        <f t="shared" si="43"/>
        <v>7508.728799999998</v>
      </c>
      <c r="X509" s="18"/>
      <c r="Y509" s="14">
        <f t="shared" si="46"/>
        <v>7508.728799999998</v>
      </c>
      <c r="Z509" s="3"/>
      <c r="AA509" s="3"/>
      <c r="AB509" s="5"/>
      <c r="AC509" s="1"/>
      <c r="AD509" s="28"/>
      <c r="AE509" s="28"/>
      <c r="AF509" s="3"/>
      <c r="AG509" s="7"/>
      <c r="AH509" s="7"/>
      <c r="AI509" s="3" t="s">
        <v>59</v>
      </c>
      <c r="AJ509" s="7" t="s">
        <v>184</v>
      </c>
      <c r="AK509" s="3"/>
      <c r="AL509" cm="1">
        <f t="array" ref="AL509">IF(getColor(V509) = 16777215, 0, 1)</f>
        <v>0</v>
      </c>
    </row>
    <row r="510" spans="1:38">
      <c r="A510" s="1">
        <v>509</v>
      </c>
      <c r="B510" s="3" t="s">
        <v>27</v>
      </c>
      <c r="C510" s="7" t="s">
        <v>287</v>
      </c>
      <c r="D510" s="7" t="s">
        <v>191</v>
      </c>
      <c r="E510" s="8">
        <v>55.701277777777783</v>
      </c>
      <c r="F510" s="8">
        <v>-132.62932222222221</v>
      </c>
      <c r="G510" s="9" t="s">
        <v>30</v>
      </c>
      <c r="H510" s="3" t="s">
        <v>31</v>
      </c>
      <c r="I510" s="3" t="s">
        <v>31</v>
      </c>
      <c r="J510" s="3" t="s">
        <v>31</v>
      </c>
      <c r="K510" s="7" t="s">
        <v>38</v>
      </c>
      <c r="L510" s="9">
        <v>65</v>
      </c>
      <c r="M510" s="9">
        <v>72</v>
      </c>
      <c r="N510" s="9">
        <f t="shared" si="41"/>
        <v>7</v>
      </c>
      <c r="O510" s="9"/>
      <c r="P510" s="9"/>
      <c r="Q510" s="25"/>
      <c r="R510" s="11">
        <v>1.44</v>
      </c>
      <c r="S510" s="1">
        <v>1.74</v>
      </c>
      <c r="T510" s="1">
        <f t="shared" si="42"/>
        <v>1.44</v>
      </c>
      <c r="U510" s="12">
        <v>5</v>
      </c>
      <c r="V510" s="13">
        <v>1.34</v>
      </c>
      <c r="W510" s="14">
        <f t="shared" si="43"/>
        <v>1283.184</v>
      </c>
      <c r="X510" s="18"/>
      <c r="Y510" s="14">
        <f t="shared" si="46"/>
        <v>1283.184</v>
      </c>
      <c r="Z510" s="3"/>
      <c r="AA510" s="3"/>
      <c r="AB510" s="5"/>
      <c r="AC510" s="1"/>
      <c r="AD510" s="28"/>
      <c r="AE510" s="28"/>
      <c r="AF510" s="3"/>
      <c r="AG510" s="7"/>
      <c r="AH510" s="7"/>
      <c r="AI510" s="3" t="s">
        <v>59</v>
      </c>
      <c r="AJ510" s="7" t="s">
        <v>38</v>
      </c>
      <c r="AK510" s="3"/>
      <c r="AL510" cm="1">
        <f t="array" ref="AL510">IF(getColor(V510) = 16777215, 0, 1)</f>
        <v>0</v>
      </c>
    </row>
    <row r="511" spans="1:38">
      <c r="A511" s="1">
        <v>510</v>
      </c>
      <c r="B511" s="3" t="s">
        <v>27</v>
      </c>
      <c r="C511" s="7" t="s">
        <v>287</v>
      </c>
      <c r="D511" s="7" t="s">
        <v>191</v>
      </c>
      <c r="E511" s="8">
        <v>55.701277777777783</v>
      </c>
      <c r="F511" s="8">
        <v>-132.62932222222221</v>
      </c>
      <c r="G511" s="9" t="s">
        <v>30</v>
      </c>
      <c r="H511" s="3" t="s">
        <v>31</v>
      </c>
      <c r="I511" s="3" t="s">
        <v>31</v>
      </c>
      <c r="J511" s="3" t="s">
        <v>31</v>
      </c>
      <c r="K511" s="7" t="s">
        <v>288</v>
      </c>
      <c r="L511" s="9">
        <v>72</v>
      </c>
      <c r="M511" s="9">
        <v>90</v>
      </c>
      <c r="N511" s="9">
        <f t="shared" si="41"/>
        <v>18</v>
      </c>
      <c r="O511" s="9"/>
      <c r="P511" s="9"/>
      <c r="Q511" s="25"/>
      <c r="R511" s="11">
        <v>1.78</v>
      </c>
      <c r="S511" s="1">
        <v>1.74</v>
      </c>
      <c r="T511" s="1">
        <f t="shared" si="42"/>
        <v>1.78</v>
      </c>
      <c r="U511" s="12">
        <v>62</v>
      </c>
      <c r="V511" s="13">
        <v>0.37</v>
      </c>
      <c r="W511" s="14">
        <f t="shared" si="43"/>
        <v>450.48239999999998</v>
      </c>
      <c r="X511" s="18"/>
      <c r="Y511" s="14">
        <f t="shared" si="46"/>
        <v>450.48239999999998</v>
      </c>
      <c r="Z511" s="3"/>
      <c r="AA511" s="3"/>
      <c r="AB511" s="5"/>
      <c r="AC511" s="1"/>
      <c r="AD511" s="28"/>
      <c r="AE511" s="28"/>
      <c r="AF511" s="3"/>
      <c r="AG511" s="7"/>
      <c r="AH511" s="7"/>
      <c r="AI511" s="3" t="s">
        <v>59</v>
      </c>
      <c r="AJ511" s="7" t="s">
        <v>288</v>
      </c>
      <c r="AK511" s="3"/>
      <c r="AL511" cm="1">
        <f t="array" ref="AL511">IF(getColor(V511) = 16777215, 0, 1)</f>
        <v>0</v>
      </c>
    </row>
    <row r="512" spans="1:38">
      <c r="A512" s="1">
        <v>511</v>
      </c>
      <c r="B512" s="3" t="s">
        <v>27</v>
      </c>
      <c r="C512" s="7" t="s">
        <v>289</v>
      </c>
      <c r="D512" s="7" t="s">
        <v>191</v>
      </c>
      <c r="E512" s="8">
        <v>55.701277777777783</v>
      </c>
      <c r="F512" s="8">
        <v>-132.62932222222221</v>
      </c>
      <c r="G512" s="9" t="s">
        <v>30</v>
      </c>
      <c r="H512" s="3" t="s">
        <v>31</v>
      </c>
      <c r="I512" s="3" t="s">
        <v>31</v>
      </c>
      <c r="J512" s="3" t="s">
        <v>31</v>
      </c>
      <c r="K512" s="7" t="s">
        <v>51</v>
      </c>
      <c r="L512" s="9">
        <v>0</v>
      </c>
      <c r="M512" s="9">
        <v>7</v>
      </c>
      <c r="N512" s="9">
        <f t="shared" si="41"/>
        <v>7</v>
      </c>
      <c r="O512" s="10">
        <f>M519-P512</f>
        <v>75</v>
      </c>
      <c r="P512" s="10">
        <f>M513</f>
        <v>28</v>
      </c>
      <c r="Q512" s="10">
        <f>O512+P512</f>
        <v>103</v>
      </c>
      <c r="R512" s="17">
        <v>0</v>
      </c>
      <c r="S512" s="1">
        <v>0.12</v>
      </c>
      <c r="T512" s="1">
        <f t="shared" si="42"/>
        <v>0.12</v>
      </c>
      <c r="U512" s="12">
        <v>0</v>
      </c>
      <c r="V512" s="13">
        <v>50.37</v>
      </c>
      <c r="W512" s="14">
        <f t="shared" si="43"/>
        <v>4231.08</v>
      </c>
      <c r="X512" s="14">
        <f>SUM(W512:W519)</f>
        <v>51450.081300000005</v>
      </c>
      <c r="Y512" s="14">
        <f t="shared" si="46"/>
        <v>4231.08</v>
      </c>
      <c r="Z512" s="15">
        <f>SUM(Y512:Y519)/10^6*10^4</f>
        <v>513.04443300000014</v>
      </c>
      <c r="AA512" s="16">
        <v>85.027386761838187</v>
      </c>
      <c r="AB512" s="5"/>
      <c r="AC512" s="1"/>
      <c r="AD512" s="28"/>
      <c r="AE512" s="28"/>
      <c r="AF512" s="3"/>
      <c r="AG512" s="7"/>
      <c r="AH512" s="7"/>
      <c r="AI512" s="3" t="s">
        <v>59</v>
      </c>
      <c r="AJ512" s="7" t="s">
        <v>67</v>
      </c>
      <c r="AK512" s="3"/>
      <c r="AL512" cm="1">
        <f t="array" ref="AL512">IF(getColor(V512) = 16777215, 0, 1)</f>
        <v>0</v>
      </c>
    </row>
    <row r="513" spans="1:38">
      <c r="A513" s="1">
        <v>512</v>
      </c>
      <c r="B513" s="3" t="s">
        <v>27</v>
      </c>
      <c r="C513" s="7" t="s">
        <v>289</v>
      </c>
      <c r="D513" s="7" t="s">
        <v>191</v>
      </c>
      <c r="E513" s="8">
        <v>55.701277777777783</v>
      </c>
      <c r="F513" s="8">
        <v>-132.62932222222221</v>
      </c>
      <c r="G513" s="9" t="s">
        <v>30</v>
      </c>
      <c r="H513" s="3" t="s">
        <v>31</v>
      </c>
      <c r="I513" s="3" t="s">
        <v>31</v>
      </c>
      <c r="J513" s="3" t="s">
        <v>31</v>
      </c>
      <c r="K513" s="7" t="s">
        <v>290</v>
      </c>
      <c r="L513" s="9">
        <v>7</v>
      </c>
      <c r="M513" s="9">
        <v>28</v>
      </c>
      <c r="N513" s="9">
        <f t="shared" si="41"/>
        <v>21</v>
      </c>
      <c r="O513" s="9"/>
      <c r="P513" s="9"/>
      <c r="Q513" s="25"/>
      <c r="R513" s="17">
        <v>0</v>
      </c>
      <c r="S513" s="1">
        <v>0.15</v>
      </c>
      <c r="T513" s="1">
        <f t="shared" si="42"/>
        <v>0.15</v>
      </c>
      <c r="U513" s="12">
        <v>0</v>
      </c>
      <c r="V513" s="13">
        <v>50.48</v>
      </c>
      <c r="W513" s="14">
        <f t="shared" si="43"/>
        <v>15901.2</v>
      </c>
      <c r="X513" s="18"/>
      <c r="Y513" s="14">
        <f t="shared" si="46"/>
        <v>15901.2</v>
      </c>
      <c r="Z513" s="3"/>
      <c r="AA513" s="3"/>
      <c r="AB513" s="5"/>
      <c r="AC513" s="5"/>
      <c r="AD513" s="28"/>
      <c r="AE513" s="28"/>
      <c r="AF513" s="3"/>
      <c r="AG513" s="7"/>
      <c r="AH513" s="7"/>
      <c r="AI513" s="3" t="s">
        <v>59</v>
      </c>
      <c r="AJ513" s="7" t="s">
        <v>291</v>
      </c>
      <c r="AK513" s="3"/>
      <c r="AL513" cm="1">
        <f t="array" ref="AL513">IF(getColor(V513) = 16777215, 0, 1)</f>
        <v>0</v>
      </c>
    </row>
    <row r="514" spans="1:38">
      <c r="A514" s="1">
        <v>513</v>
      </c>
      <c r="B514" s="3" t="s">
        <v>27</v>
      </c>
      <c r="C514" s="7" t="s">
        <v>289</v>
      </c>
      <c r="D514" s="7" t="s">
        <v>191</v>
      </c>
      <c r="E514" s="8">
        <v>55.701277777777783</v>
      </c>
      <c r="F514" s="8">
        <v>-132.62932222222221</v>
      </c>
      <c r="G514" s="9" t="s">
        <v>30</v>
      </c>
      <c r="H514" s="3" t="s">
        <v>31</v>
      </c>
      <c r="I514" s="3" t="s">
        <v>31</v>
      </c>
      <c r="J514" s="3" t="s">
        <v>31</v>
      </c>
      <c r="K514" s="7" t="s">
        <v>47</v>
      </c>
      <c r="L514" s="9">
        <v>28</v>
      </c>
      <c r="M514" s="9">
        <v>32</v>
      </c>
      <c r="N514" s="9">
        <f t="shared" ref="N514:N577" si="47">ABS(M514-L514)</f>
        <v>4</v>
      </c>
      <c r="O514" s="9"/>
      <c r="P514" s="9"/>
      <c r="Q514" s="25"/>
      <c r="R514" s="11">
        <v>0</v>
      </c>
      <c r="S514" s="1">
        <v>0.93</v>
      </c>
      <c r="T514" s="1">
        <f t="shared" ref="T514:T577" si="48">IF(R514=0,S514,R514)</f>
        <v>0.93</v>
      </c>
      <c r="U514" s="12">
        <v>4</v>
      </c>
      <c r="V514" s="13">
        <v>9.17</v>
      </c>
      <c r="W514" s="14">
        <f t="shared" si="43"/>
        <v>3274.7904000000003</v>
      </c>
      <c r="X514" s="18"/>
      <c r="Y514" s="14">
        <f t="shared" si="46"/>
        <v>3274.7904000000003</v>
      </c>
      <c r="Z514" s="3"/>
      <c r="AA514" s="3"/>
      <c r="AB514" s="5"/>
      <c r="AC514" s="1"/>
      <c r="AD514" s="28"/>
      <c r="AE514" s="28"/>
      <c r="AF514" s="3"/>
      <c r="AG514" s="7"/>
      <c r="AH514" s="7"/>
      <c r="AI514" s="3" t="s">
        <v>59</v>
      </c>
      <c r="AJ514" s="7" t="s">
        <v>47</v>
      </c>
      <c r="AK514" s="3"/>
      <c r="AL514" cm="1">
        <f t="array" ref="AL514">IF(getColor(V514) = 16777215, 0, 1)</f>
        <v>0</v>
      </c>
    </row>
    <row r="515" spans="1:38">
      <c r="A515" s="1">
        <v>514</v>
      </c>
      <c r="B515" s="3" t="s">
        <v>27</v>
      </c>
      <c r="C515" s="7" t="s">
        <v>289</v>
      </c>
      <c r="D515" s="7" t="s">
        <v>191</v>
      </c>
      <c r="E515" s="8">
        <v>55.701277777777783</v>
      </c>
      <c r="F515" s="8">
        <v>-132.62932222222221</v>
      </c>
      <c r="G515" s="9" t="s">
        <v>30</v>
      </c>
      <c r="H515" s="3" t="s">
        <v>31</v>
      </c>
      <c r="I515" s="3" t="s">
        <v>31</v>
      </c>
      <c r="J515" s="3" t="s">
        <v>31</v>
      </c>
      <c r="K515" s="7" t="s">
        <v>101</v>
      </c>
      <c r="L515" s="9">
        <v>32</v>
      </c>
      <c r="M515" s="9">
        <v>42</v>
      </c>
      <c r="N515" s="9">
        <f t="shared" si="47"/>
        <v>10</v>
      </c>
      <c r="O515" s="9"/>
      <c r="P515" s="9"/>
      <c r="Q515" s="25"/>
      <c r="R515" s="11">
        <v>1.61</v>
      </c>
      <c r="S515" s="1">
        <v>0.86</v>
      </c>
      <c r="T515" s="1">
        <f t="shared" si="48"/>
        <v>1.61</v>
      </c>
      <c r="U515" s="12">
        <v>1</v>
      </c>
      <c r="V515" s="13">
        <v>6.25</v>
      </c>
      <c r="W515" s="14">
        <f t="shared" ref="W515:W578" si="49">T515*V515/100*N515*100*100*((100-U515)/100)</f>
        <v>9961.8750000000018</v>
      </c>
      <c r="X515" s="18"/>
      <c r="Y515" s="14">
        <f t="shared" si="46"/>
        <v>9961.8750000000018</v>
      </c>
      <c r="Z515" s="3"/>
      <c r="AA515" s="3"/>
      <c r="AB515" s="5"/>
      <c r="AC515" s="1"/>
      <c r="AD515" s="28"/>
      <c r="AE515" s="28"/>
      <c r="AF515" s="3"/>
      <c r="AG515" s="7"/>
      <c r="AH515" s="7"/>
      <c r="AI515" s="3" t="s">
        <v>59</v>
      </c>
      <c r="AJ515" s="7" t="s">
        <v>102</v>
      </c>
      <c r="AK515" s="3"/>
      <c r="AL515" cm="1">
        <f t="array" ref="AL515">IF(getColor(V515) = 16777215, 0, 1)</f>
        <v>0</v>
      </c>
    </row>
    <row r="516" spans="1:38">
      <c r="A516" s="1">
        <v>515</v>
      </c>
      <c r="B516" s="3" t="s">
        <v>27</v>
      </c>
      <c r="C516" s="7" t="s">
        <v>289</v>
      </c>
      <c r="D516" s="7" t="s">
        <v>191</v>
      </c>
      <c r="E516" s="8">
        <v>55.701277777777783</v>
      </c>
      <c r="F516" s="8">
        <v>-132.62932222222221</v>
      </c>
      <c r="G516" s="9" t="s">
        <v>30</v>
      </c>
      <c r="H516" s="3" t="s">
        <v>31</v>
      </c>
      <c r="I516" s="3" t="s">
        <v>31</v>
      </c>
      <c r="J516" s="3" t="s">
        <v>31</v>
      </c>
      <c r="K516" s="7" t="s">
        <v>103</v>
      </c>
      <c r="L516" s="9">
        <v>42</v>
      </c>
      <c r="M516" s="9">
        <v>49</v>
      </c>
      <c r="N516" s="9">
        <f t="shared" si="47"/>
        <v>7</v>
      </c>
      <c r="O516" s="9"/>
      <c r="P516" s="9"/>
      <c r="Q516" s="25"/>
      <c r="R516" s="11">
        <v>1.54</v>
      </c>
      <c r="S516" s="1">
        <v>0.86</v>
      </c>
      <c r="T516" s="1">
        <f t="shared" si="48"/>
        <v>1.54</v>
      </c>
      <c r="U516" s="12">
        <v>10</v>
      </c>
      <c r="V516" s="13">
        <v>4.71</v>
      </c>
      <c r="W516" s="14">
        <f t="shared" si="49"/>
        <v>4569.6419999999998</v>
      </c>
      <c r="X516" s="18"/>
      <c r="Y516" s="14">
        <f t="shared" si="46"/>
        <v>4569.6419999999998</v>
      </c>
      <c r="Z516" s="3"/>
      <c r="AA516" s="3"/>
      <c r="AB516" s="5"/>
      <c r="AC516" s="1"/>
      <c r="AD516" s="28"/>
      <c r="AE516" s="28"/>
      <c r="AF516" s="3"/>
      <c r="AG516" s="7"/>
      <c r="AH516" s="7"/>
      <c r="AI516" s="3" t="s">
        <v>59</v>
      </c>
      <c r="AJ516" s="7" t="s">
        <v>104</v>
      </c>
      <c r="AK516" s="3"/>
      <c r="AL516" cm="1">
        <f t="array" ref="AL516">IF(getColor(V516) = 16777215, 0, 1)</f>
        <v>0</v>
      </c>
    </row>
    <row r="517" spans="1:38">
      <c r="A517" s="1">
        <v>516</v>
      </c>
      <c r="B517" s="3" t="s">
        <v>27</v>
      </c>
      <c r="C517" s="7" t="s">
        <v>289</v>
      </c>
      <c r="D517" s="7" t="s">
        <v>191</v>
      </c>
      <c r="E517" s="8">
        <v>55.701277777777783</v>
      </c>
      <c r="F517" s="8">
        <v>-132.62932222222221</v>
      </c>
      <c r="G517" s="9" t="s">
        <v>30</v>
      </c>
      <c r="H517" s="3" t="s">
        <v>31</v>
      </c>
      <c r="I517" s="3" t="s">
        <v>31</v>
      </c>
      <c r="J517" s="3" t="s">
        <v>31</v>
      </c>
      <c r="K517" s="7" t="s">
        <v>242</v>
      </c>
      <c r="L517" s="9">
        <v>49</v>
      </c>
      <c r="M517" s="9">
        <v>76</v>
      </c>
      <c r="N517" s="9">
        <f t="shared" si="47"/>
        <v>27</v>
      </c>
      <c r="O517" s="9"/>
      <c r="P517" s="9"/>
      <c r="Q517" s="25"/>
      <c r="R517" s="11">
        <v>2.09</v>
      </c>
      <c r="S517" s="1">
        <v>0.86</v>
      </c>
      <c r="T517" s="1">
        <f t="shared" si="48"/>
        <v>2.09</v>
      </c>
      <c r="U517" s="12">
        <v>19</v>
      </c>
      <c r="V517" s="13">
        <v>2.41</v>
      </c>
      <c r="W517" s="14">
        <f t="shared" si="49"/>
        <v>11015.7003</v>
      </c>
      <c r="X517" s="18"/>
      <c r="Y517" s="14">
        <f t="shared" si="46"/>
        <v>11015.7003</v>
      </c>
      <c r="Z517" s="3"/>
      <c r="AA517" s="3"/>
      <c r="AB517" s="5"/>
      <c r="AC517" s="1"/>
      <c r="AD517" s="28"/>
      <c r="AE517" s="28"/>
      <c r="AF517" s="3"/>
      <c r="AG517" s="7"/>
      <c r="AH517" s="7"/>
      <c r="AI517" s="3" t="s">
        <v>59</v>
      </c>
      <c r="AJ517" s="7" t="s">
        <v>243</v>
      </c>
      <c r="AK517" s="3"/>
      <c r="AL517" cm="1">
        <f t="array" ref="AL517">IF(getColor(V517) = 16777215, 0, 1)</f>
        <v>0</v>
      </c>
    </row>
    <row r="518" spans="1:38">
      <c r="A518" s="1">
        <v>517</v>
      </c>
      <c r="B518" s="3" t="s">
        <v>27</v>
      </c>
      <c r="C518" s="7" t="s">
        <v>289</v>
      </c>
      <c r="D518" s="7" t="s">
        <v>191</v>
      </c>
      <c r="E518" s="8">
        <v>55.701277777777783</v>
      </c>
      <c r="F518" s="8">
        <v>-132.62932222222221</v>
      </c>
      <c r="G518" s="9" t="s">
        <v>30</v>
      </c>
      <c r="H518" s="3" t="s">
        <v>31</v>
      </c>
      <c r="I518" s="3" t="s">
        <v>31</v>
      </c>
      <c r="J518" s="3" t="s">
        <v>31</v>
      </c>
      <c r="K518" s="7" t="s">
        <v>44</v>
      </c>
      <c r="L518" s="9">
        <v>76</v>
      </c>
      <c r="M518" s="9">
        <v>88</v>
      </c>
      <c r="N518" s="9">
        <f t="shared" si="47"/>
        <v>12</v>
      </c>
      <c r="O518" s="9"/>
      <c r="P518" s="9"/>
      <c r="Q518" s="25"/>
      <c r="R518" s="11">
        <v>2.27</v>
      </c>
      <c r="S518" s="1">
        <v>1.74</v>
      </c>
      <c r="T518" s="1">
        <f t="shared" si="48"/>
        <v>2.27</v>
      </c>
      <c r="U518" s="12">
        <v>37</v>
      </c>
      <c r="V518" s="13">
        <v>1.03</v>
      </c>
      <c r="W518" s="14">
        <f t="shared" si="49"/>
        <v>1767.6036000000004</v>
      </c>
      <c r="X518" s="18"/>
      <c r="Y518" s="14">
        <f t="shared" si="46"/>
        <v>1767.6036000000004</v>
      </c>
      <c r="Z518" s="3"/>
      <c r="AA518" s="3"/>
      <c r="AB518" s="5"/>
      <c r="AC518" s="1"/>
      <c r="AD518" s="28"/>
      <c r="AE518" s="28"/>
      <c r="AF518" s="3"/>
      <c r="AG518" s="7"/>
      <c r="AH518" s="7"/>
      <c r="AI518" s="3" t="s">
        <v>59</v>
      </c>
      <c r="AJ518" s="7" t="s">
        <v>44</v>
      </c>
      <c r="AK518" s="3"/>
      <c r="AL518" cm="1">
        <f t="array" ref="AL518">IF(getColor(V518) = 16777215, 0, 1)</f>
        <v>0</v>
      </c>
    </row>
    <row r="519" spans="1:38">
      <c r="A519" s="1">
        <v>518</v>
      </c>
      <c r="B519" s="3" t="s">
        <v>27</v>
      </c>
      <c r="C519" s="7" t="s">
        <v>289</v>
      </c>
      <c r="D519" s="7" t="s">
        <v>191</v>
      </c>
      <c r="E519" s="8">
        <v>55.701277777777783</v>
      </c>
      <c r="F519" s="8">
        <v>-132.62932222222221</v>
      </c>
      <c r="G519" s="9" t="s">
        <v>30</v>
      </c>
      <c r="H519" s="3" t="s">
        <v>31</v>
      </c>
      <c r="I519" s="3" t="s">
        <v>31</v>
      </c>
      <c r="J519" s="3" t="s">
        <v>31</v>
      </c>
      <c r="K519" s="7" t="s">
        <v>98</v>
      </c>
      <c r="L519" s="9">
        <v>88</v>
      </c>
      <c r="M519" s="9">
        <v>103</v>
      </c>
      <c r="N519" s="9">
        <f t="shared" si="47"/>
        <v>15</v>
      </c>
      <c r="O519" s="9"/>
      <c r="P519" s="9"/>
      <c r="Q519" s="25"/>
      <c r="R519" s="11">
        <v>0</v>
      </c>
      <c r="S519" s="1">
        <v>1.74</v>
      </c>
      <c r="T519" s="1">
        <f t="shared" si="48"/>
        <v>1.74</v>
      </c>
      <c r="U519" s="12">
        <v>38</v>
      </c>
      <c r="V519" s="13">
        <v>0.45</v>
      </c>
      <c r="W519" s="14">
        <f t="shared" si="49"/>
        <v>728.18999999999994</v>
      </c>
      <c r="X519" s="18"/>
      <c r="Y519" s="14">
        <f>IF(L519&gt;-100,W519-W519*(ABS(M519)-100)/(ABS(M519)-ABS(L519)),0)</f>
        <v>582.55199999999991</v>
      </c>
      <c r="Z519" s="3"/>
      <c r="AA519" s="3"/>
      <c r="AB519" s="5"/>
      <c r="AC519" s="1"/>
      <c r="AD519" s="28"/>
      <c r="AE519" s="28"/>
      <c r="AF519" s="3"/>
      <c r="AG519" s="7"/>
      <c r="AH519" s="7"/>
      <c r="AI519" s="3" t="s">
        <v>59</v>
      </c>
      <c r="AJ519" s="7" t="s">
        <v>98</v>
      </c>
      <c r="AK519" s="3"/>
      <c r="AL519" cm="1">
        <f t="array" ref="AL519">IF(getColor(V519) = 16777215, 0, 1)</f>
        <v>0</v>
      </c>
    </row>
    <row r="520" spans="1:38">
      <c r="A520" s="1">
        <v>519</v>
      </c>
      <c r="B520" s="3" t="s">
        <v>27</v>
      </c>
      <c r="C520" s="7" t="s">
        <v>292</v>
      </c>
      <c r="D520" s="7" t="s">
        <v>293</v>
      </c>
      <c r="E520" s="8">
        <v>55.710027777777782</v>
      </c>
      <c r="F520" s="8">
        <v>-132.62132222222223</v>
      </c>
      <c r="G520" s="9" t="s">
        <v>30</v>
      </c>
      <c r="H520" s="3" t="s">
        <v>31</v>
      </c>
      <c r="I520" s="3" t="s">
        <v>31</v>
      </c>
      <c r="J520" s="3" t="s">
        <v>31</v>
      </c>
      <c r="K520" s="7" t="s">
        <v>49</v>
      </c>
      <c r="L520" s="9">
        <v>0</v>
      </c>
      <c r="M520" s="9">
        <v>7</v>
      </c>
      <c r="N520" s="9">
        <f t="shared" si="47"/>
        <v>7</v>
      </c>
      <c r="O520" s="10">
        <f>M526-P520</f>
        <v>74</v>
      </c>
      <c r="P520" s="10">
        <f>M522</f>
        <v>46</v>
      </c>
      <c r="Q520" s="10">
        <f>O520+P520</f>
        <v>120</v>
      </c>
      <c r="R520" s="17">
        <v>0</v>
      </c>
      <c r="S520" s="1">
        <v>0.08</v>
      </c>
      <c r="T520" s="1">
        <f t="shared" si="48"/>
        <v>0.08</v>
      </c>
      <c r="U520" s="12">
        <v>0</v>
      </c>
      <c r="V520" s="13">
        <v>49.98</v>
      </c>
      <c r="W520" s="14">
        <f t="shared" si="49"/>
        <v>2798.8799999999997</v>
      </c>
      <c r="X520" s="14">
        <f>SUM(W520:W526)</f>
        <v>44414.976199999997</v>
      </c>
      <c r="Y520" s="14">
        <f t="shared" ref="Y520:Y525" si="50">T520*V520/100*N520*100*100*((100-U520)/100)</f>
        <v>2798.8799999999997</v>
      </c>
      <c r="Z520" s="15">
        <f>SUM(Y520:Y526)/10^6*10^4</f>
        <v>428.06172199999997</v>
      </c>
      <c r="AA520" s="16">
        <v>107.43316653019515</v>
      </c>
      <c r="AB520" s="5"/>
      <c r="AC520" s="1"/>
      <c r="AD520" s="28"/>
      <c r="AE520" s="28"/>
      <c r="AF520" s="3"/>
      <c r="AG520" s="7"/>
      <c r="AH520" s="7"/>
      <c r="AI520" s="3" t="s">
        <v>59</v>
      </c>
      <c r="AJ520" s="7" t="s">
        <v>60</v>
      </c>
      <c r="AK520" s="3"/>
      <c r="AL520" cm="1">
        <f t="array" ref="AL520">IF(getColor(V520) = 16777215, 0, 1)</f>
        <v>0</v>
      </c>
    </row>
    <row r="521" spans="1:38">
      <c r="A521" s="1">
        <v>520</v>
      </c>
      <c r="B521" s="3" t="s">
        <v>27</v>
      </c>
      <c r="C521" s="7" t="s">
        <v>292</v>
      </c>
      <c r="D521" s="7" t="s">
        <v>293</v>
      </c>
      <c r="E521" s="8">
        <v>55.710027777777782</v>
      </c>
      <c r="F521" s="8">
        <v>-132.62132222222223</v>
      </c>
      <c r="G521" s="9" t="s">
        <v>30</v>
      </c>
      <c r="H521" s="3" t="s">
        <v>31</v>
      </c>
      <c r="I521" s="3" t="s">
        <v>31</v>
      </c>
      <c r="J521" s="3" t="s">
        <v>31</v>
      </c>
      <c r="K521" s="7" t="s">
        <v>32</v>
      </c>
      <c r="L521" s="9">
        <v>7</v>
      </c>
      <c r="M521" s="9">
        <v>22</v>
      </c>
      <c r="N521" s="9">
        <f t="shared" si="47"/>
        <v>15</v>
      </c>
      <c r="O521" s="9"/>
      <c r="P521" s="9"/>
      <c r="Q521" s="25"/>
      <c r="R521" s="17">
        <v>0</v>
      </c>
      <c r="S521" s="1">
        <v>0.12</v>
      </c>
      <c r="T521" s="1">
        <f t="shared" si="48"/>
        <v>0.12</v>
      </c>
      <c r="U521" s="12">
        <v>0</v>
      </c>
      <c r="V521" s="13">
        <v>52.67</v>
      </c>
      <c r="W521" s="14">
        <f t="shared" si="49"/>
        <v>9480.5999999999985</v>
      </c>
      <c r="X521" s="18"/>
      <c r="Y521" s="14">
        <f t="shared" si="50"/>
        <v>9480.5999999999985</v>
      </c>
      <c r="Z521" s="3"/>
      <c r="AA521" s="3"/>
      <c r="AB521" s="5"/>
      <c r="AC521" s="5"/>
      <c r="AD521" s="28"/>
      <c r="AE521" s="28"/>
      <c r="AF521" s="3"/>
      <c r="AG521" s="7"/>
      <c r="AH521" s="7"/>
      <c r="AI521" s="3" t="s">
        <v>59</v>
      </c>
      <c r="AJ521" s="7" t="s">
        <v>34</v>
      </c>
      <c r="AK521" s="3"/>
      <c r="AL521" cm="1">
        <f t="array" ref="AL521">IF(getColor(V521) = 16777215, 0, 1)</f>
        <v>0</v>
      </c>
    </row>
    <row r="522" spans="1:38">
      <c r="A522" s="1">
        <v>521</v>
      </c>
      <c r="B522" s="3" t="s">
        <v>27</v>
      </c>
      <c r="C522" s="7" t="s">
        <v>292</v>
      </c>
      <c r="D522" s="7" t="s">
        <v>293</v>
      </c>
      <c r="E522" s="8">
        <v>55.710027777777782</v>
      </c>
      <c r="F522" s="8">
        <v>-132.62132222222223</v>
      </c>
      <c r="G522" s="9" t="s">
        <v>30</v>
      </c>
      <c r="H522" s="3" t="s">
        <v>31</v>
      </c>
      <c r="I522" s="3" t="s">
        <v>31</v>
      </c>
      <c r="J522" s="3" t="s">
        <v>31</v>
      </c>
      <c r="K522" s="7" t="s">
        <v>35</v>
      </c>
      <c r="L522" s="9">
        <v>22</v>
      </c>
      <c r="M522" s="9">
        <v>46</v>
      </c>
      <c r="N522" s="9">
        <f t="shared" si="47"/>
        <v>24</v>
      </c>
      <c r="O522" s="9"/>
      <c r="P522" s="9"/>
      <c r="Q522" s="25"/>
      <c r="R522" s="17">
        <v>0</v>
      </c>
      <c r="S522" s="1">
        <v>0.12</v>
      </c>
      <c r="T522" s="1">
        <f t="shared" si="48"/>
        <v>0.12</v>
      </c>
      <c r="U522" s="12">
        <v>0</v>
      </c>
      <c r="V522" s="13">
        <v>49.02</v>
      </c>
      <c r="W522" s="14">
        <f t="shared" si="49"/>
        <v>14117.760000000002</v>
      </c>
      <c r="X522" s="18"/>
      <c r="Y522" s="14">
        <f t="shared" si="50"/>
        <v>14117.760000000002</v>
      </c>
      <c r="Z522" s="3"/>
      <c r="AA522" s="3"/>
      <c r="AB522" s="5"/>
      <c r="AC522" s="1"/>
      <c r="AD522" s="28"/>
      <c r="AE522" s="28"/>
      <c r="AF522" s="3"/>
      <c r="AG522" s="7"/>
      <c r="AH522" s="7"/>
      <c r="AI522" s="3" t="s">
        <v>59</v>
      </c>
      <c r="AJ522" s="7" t="s">
        <v>36</v>
      </c>
      <c r="AK522" s="3"/>
      <c r="AL522" cm="1">
        <f t="array" ref="AL522">IF(getColor(V522) = 16777215, 0, 1)</f>
        <v>0</v>
      </c>
    </row>
    <row r="523" spans="1:38">
      <c r="A523" s="1">
        <v>522</v>
      </c>
      <c r="B523" s="3" t="s">
        <v>27</v>
      </c>
      <c r="C523" s="7" t="s">
        <v>292</v>
      </c>
      <c r="D523" s="7" t="s">
        <v>293</v>
      </c>
      <c r="E523" s="8">
        <v>55.710027777777782</v>
      </c>
      <c r="F523" s="8">
        <v>-132.62132222222223</v>
      </c>
      <c r="G523" s="9" t="s">
        <v>30</v>
      </c>
      <c r="H523" s="3" t="s">
        <v>31</v>
      </c>
      <c r="I523" s="3" t="s">
        <v>31</v>
      </c>
      <c r="J523" s="3" t="s">
        <v>31</v>
      </c>
      <c r="K523" s="7" t="s">
        <v>47</v>
      </c>
      <c r="L523" s="9">
        <v>46</v>
      </c>
      <c r="M523" s="9">
        <v>63</v>
      </c>
      <c r="N523" s="9">
        <f t="shared" si="47"/>
        <v>17</v>
      </c>
      <c r="O523" s="9"/>
      <c r="P523" s="9"/>
      <c r="Q523" s="25"/>
      <c r="R523" s="11">
        <v>1.43</v>
      </c>
      <c r="S523" s="1">
        <v>0.93</v>
      </c>
      <c r="T523" s="1">
        <f t="shared" si="48"/>
        <v>1.43</v>
      </c>
      <c r="U523" s="12">
        <v>8</v>
      </c>
      <c r="V523" s="13">
        <v>1.76</v>
      </c>
      <c r="W523" s="14">
        <f t="shared" si="49"/>
        <v>3936.2752000000005</v>
      </c>
      <c r="X523" s="18"/>
      <c r="Y523" s="14">
        <f t="shared" si="50"/>
        <v>3936.2752000000005</v>
      </c>
      <c r="Z523" s="3"/>
      <c r="AA523" s="3"/>
      <c r="AB523" s="5"/>
      <c r="AC523" s="1"/>
      <c r="AD523" s="28"/>
      <c r="AE523" s="28"/>
      <c r="AF523" s="3"/>
      <c r="AG523" s="7"/>
      <c r="AH523" s="7"/>
      <c r="AI523" s="3" t="s">
        <v>59</v>
      </c>
      <c r="AJ523" s="7" t="s">
        <v>47</v>
      </c>
      <c r="AK523" s="3"/>
      <c r="AL523" cm="1">
        <f t="array" ref="AL523">IF(getColor(V523) = 16777215, 0, 1)</f>
        <v>0</v>
      </c>
    </row>
    <row r="524" spans="1:38">
      <c r="A524" s="1">
        <v>523</v>
      </c>
      <c r="B524" s="3" t="s">
        <v>27</v>
      </c>
      <c r="C524" s="7" t="s">
        <v>292</v>
      </c>
      <c r="D524" s="7" t="s">
        <v>293</v>
      </c>
      <c r="E524" s="8">
        <v>55.710027777777782</v>
      </c>
      <c r="F524" s="8">
        <v>-132.62132222222223</v>
      </c>
      <c r="G524" s="9" t="s">
        <v>30</v>
      </c>
      <c r="H524" s="3" t="s">
        <v>31</v>
      </c>
      <c r="I524" s="3" t="s">
        <v>31</v>
      </c>
      <c r="J524" s="3" t="s">
        <v>31</v>
      </c>
      <c r="K524" s="7" t="s">
        <v>77</v>
      </c>
      <c r="L524" s="9">
        <v>63</v>
      </c>
      <c r="M524" s="9">
        <v>73</v>
      </c>
      <c r="N524" s="9">
        <f t="shared" si="47"/>
        <v>10</v>
      </c>
      <c r="O524" s="9"/>
      <c r="P524" s="9"/>
      <c r="Q524" s="25"/>
      <c r="R524" s="11">
        <v>2.0299999999999998</v>
      </c>
      <c r="S524" s="1">
        <v>0.86</v>
      </c>
      <c r="T524" s="1">
        <f t="shared" si="48"/>
        <v>2.0299999999999998</v>
      </c>
      <c r="U524" s="12">
        <v>12</v>
      </c>
      <c r="V524" s="13">
        <v>4.82</v>
      </c>
      <c r="W524" s="14">
        <f t="shared" si="49"/>
        <v>8610.4479999999985</v>
      </c>
      <c r="X524" s="18"/>
      <c r="Y524" s="14">
        <f t="shared" si="50"/>
        <v>8610.4479999999985</v>
      </c>
      <c r="Z524" s="3"/>
      <c r="AA524" s="3"/>
      <c r="AB524" s="5"/>
      <c r="AC524" s="1"/>
      <c r="AD524" s="28"/>
      <c r="AE524" s="28"/>
      <c r="AF524" s="3"/>
      <c r="AG524" s="7"/>
      <c r="AH524" s="7"/>
      <c r="AI524" s="3" t="s">
        <v>59</v>
      </c>
      <c r="AJ524" s="7" t="s">
        <v>78</v>
      </c>
      <c r="AK524" s="3"/>
      <c r="AL524" cm="1">
        <f t="array" ref="AL524">IF(getColor(V524) = 16777215, 0, 1)</f>
        <v>0</v>
      </c>
    </row>
    <row r="525" spans="1:38">
      <c r="A525" s="1">
        <v>524</v>
      </c>
      <c r="B525" s="3" t="s">
        <v>27</v>
      </c>
      <c r="C525" s="7" t="s">
        <v>292</v>
      </c>
      <c r="D525" s="7" t="s">
        <v>293</v>
      </c>
      <c r="E525" s="8">
        <v>55.710027777777782</v>
      </c>
      <c r="F525" s="8">
        <v>-132.62132222222223</v>
      </c>
      <c r="G525" s="9" t="s">
        <v>30</v>
      </c>
      <c r="H525" s="3" t="s">
        <v>31</v>
      </c>
      <c r="I525" s="3" t="s">
        <v>31</v>
      </c>
      <c r="J525" s="3" t="s">
        <v>31</v>
      </c>
      <c r="K525" s="7" t="s">
        <v>41</v>
      </c>
      <c r="L525" s="9">
        <v>73</v>
      </c>
      <c r="M525" s="9">
        <v>87</v>
      </c>
      <c r="N525" s="9">
        <f t="shared" si="47"/>
        <v>14</v>
      </c>
      <c r="O525" s="9"/>
      <c r="P525" s="9"/>
      <c r="Q525" s="25"/>
      <c r="R525" s="11">
        <v>2.08</v>
      </c>
      <c r="S525" s="1">
        <v>1.17</v>
      </c>
      <c r="T525" s="1">
        <f t="shared" si="48"/>
        <v>2.08</v>
      </c>
      <c r="U525" s="12">
        <v>22</v>
      </c>
      <c r="V525" s="13">
        <v>1.24</v>
      </c>
      <c r="W525" s="14">
        <f t="shared" si="49"/>
        <v>2816.4864000000002</v>
      </c>
      <c r="X525" s="18"/>
      <c r="Y525" s="14">
        <f t="shared" si="50"/>
        <v>2816.4864000000002</v>
      </c>
      <c r="Z525" s="3"/>
      <c r="AA525" s="3"/>
      <c r="AB525" s="5"/>
      <c r="AC525" s="1"/>
      <c r="AD525" s="28"/>
      <c r="AE525" s="28"/>
      <c r="AF525" s="3"/>
      <c r="AG525" s="7"/>
      <c r="AH525" s="7"/>
      <c r="AI525" s="3" t="s">
        <v>59</v>
      </c>
      <c r="AJ525" s="7" t="s">
        <v>61</v>
      </c>
      <c r="AK525" s="3"/>
      <c r="AL525" cm="1">
        <f t="array" ref="AL525">IF(getColor(V525) = 16777215, 0, 1)</f>
        <v>0</v>
      </c>
    </row>
    <row r="526" spans="1:38">
      <c r="A526" s="1">
        <v>525</v>
      </c>
      <c r="B526" s="3" t="s">
        <v>27</v>
      </c>
      <c r="C526" s="7" t="s">
        <v>292</v>
      </c>
      <c r="D526" s="7" t="s">
        <v>293</v>
      </c>
      <c r="E526" s="8">
        <v>55.710027777777782</v>
      </c>
      <c r="F526" s="8">
        <v>-132.62132222222223</v>
      </c>
      <c r="G526" s="9" t="s">
        <v>30</v>
      </c>
      <c r="H526" s="3" t="s">
        <v>31</v>
      </c>
      <c r="I526" s="3" t="s">
        <v>31</v>
      </c>
      <c r="J526" s="3" t="s">
        <v>31</v>
      </c>
      <c r="K526" s="7" t="s">
        <v>98</v>
      </c>
      <c r="L526" s="9">
        <v>87</v>
      </c>
      <c r="M526" s="9">
        <v>120</v>
      </c>
      <c r="N526" s="9">
        <f t="shared" si="47"/>
        <v>33</v>
      </c>
      <c r="O526" s="9"/>
      <c r="P526" s="9"/>
      <c r="Q526" s="25"/>
      <c r="R526" s="11">
        <v>0</v>
      </c>
      <c r="S526" s="1">
        <v>1.74</v>
      </c>
      <c r="T526" s="1">
        <f t="shared" si="48"/>
        <v>1.74</v>
      </c>
      <c r="U526" s="12">
        <v>33</v>
      </c>
      <c r="V526" s="13">
        <v>0.69</v>
      </c>
      <c r="W526" s="14">
        <f t="shared" si="49"/>
        <v>2654.5265999999997</v>
      </c>
      <c r="X526" s="18"/>
      <c r="Y526" s="14">
        <f>IF(L526&gt;-100,W526-W526*(ABS(M526)-100)/(ABS(M526)-ABS(L526)),0)</f>
        <v>1045.7225999999998</v>
      </c>
      <c r="Z526" s="3"/>
      <c r="AA526" s="3"/>
      <c r="AB526" s="5"/>
      <c r="AC526" s="1"/>
      <c r="AD526" s="28"/>
      <c r="AE526" s="28"/>
      <c r="AF526" s="3"/>
      <c r="AG526" s="7"/>
      <c r="AH526" s="7"/>
      <c r="AI526" s="3" t="s">
        <v>59</v>
      </c>
      <c r="AJ526" s="7" t="s">
        <v>98</v>
      </c>
      <c r="AK526" s="3"/>
      <c r="AL526" cm="1">
        <f t="array" ref="AL526">IF(getColor(V526) = 16777215, 0, 1)</f>
        <v>0</v>
      </c>
    </row>
    <row r="527" spans="1:38">
      <c r="A527" s="1">
        <v>526</v>
      </c>
      <c r="B527" s="3" t="s">
        <v>27</v>
      </c>
      <c r="C527" s="7" t="s">
        <v>294</v>
      </c>
      <c r="D527" s="7" t="s">
        <v>206</v>
      </c>
      <c r="E527" s="8">
        <v>55.72076666666667</v>
      </c>
      <c r="F527" s="8">
        <v>-131.69163333333333</v>
      </c>
      <c r="G527" s="9" t="s">
        <v>30</v>
      </c>
      <c r="H527" s="3" t="s">
        <v>31</v>
      </c>
      <c r="I527" s="3" t="s">
        <v>31</v>
      </c>
      <c r="J527" s="3" t="s">
        <v>31</v>
      </c>
      <c r="K527" s="7" t="s">
        <v>49</v>
      </c>
      <c r="L527" s="9">
        <v>25</v>
      </c>
      <c r="M527" s="9">
        <v>15</v>
      </c>
      <c r="N527" s="9">
        <f t="shared" si="47"/>
        <v>10</v>
      </c>
      <c r="O527" s="29">
        <f>M533</f>
        <v>100</v>
      </c>
      <c r="P527" s="29">
        <f>L527</f>
        <v>25</v>
      </c>
      <c r="Q527" s="29">
        <f>P527+O527</f>
        <v>125</v>
      </c>
      <c r="R527" s="11">
        <v>0</v>
      </c>
      <c r="S527" s="1">
        <v>0.08</v>
      </c>
      <c r="T527" s="1">
        <f t="shared" si="48"/>
        <v>0.08</v>
      </c>
      <c r="U527" s="12">
        <v>0</v>
      </c>
      <c r="V527" s="31">
        <v>36.66627891666667</v>
      </c>
      <c r="W527" s="14">
        <f t="shared" si="49"/>
        <v>2933.3023133333336</v>
      </c>
      <c r="X527" s="14">
        <f>SUM(W527:W533)</f>
        <v>86187.410689712284</v>
      </c>
      <c r="Y527" s="14">
        <f t="shared" ref="Y527:Y589" si="51">T527*V527/100*N527*100*100*((100-U527)/100)</f>
        <v>2933.3023133333336</v>
      </c>
      <c r="Z527" s="15">
        <f>SUM(Y527:Y533)/10^6*10^4</f>
        <v>861.87410689712283</v>
      </c>
      <c r="AA527" s="16">
        <v>105.83480377367189</v>
      </c>
      <c r="AB527" s="5"/>
      <c r="AC527" s="1"/>
      <c r="AD527" s="28"/>
      <c r="AE527" s="28"/>
      <c r="AF527" s="3"/>
      <c r="AG527" s="7"/>
      <c r="AH527" s="7"/>
      <c r="AI527" s="3" t="s">
        <v>107</v>
      </c>
      <c r="AJ527" s="7" t="s">
        <v>60</v>
      </c>
      <c r="AK527" s="3"/>
      <c r="AL527" cm="1">
        <f t="array" ref="AL527">IF(getColor(V527) = 16777215, 0, 1)</f>
        <v>1</v>
      </c>
    </row>
    <row r="528" spans="1:38">
      <c r="A528" s="1">
        <v>527</v>
      </c>
      <c r="B528" s="3" t="s">
        <v>27</v>
      </c>
      <c r="C528" s="7" t="s">
        <v>294</v>
      </c>
      <c r="D528" s="7" t="s">
        <v>206</v>
      </c>
      <c r="E528" s="8">
        <v>55.72076666666667</v>
      </c>
      <c r="F528" s="8">
        <v>-131.69163333333333</v>
      </c>
      <c r="G528" s="9" t="s">
        <v>30</v>
      </c>
      <c r="H528" s="3" t="s">
        <v>31</v>
      </c>
      <c r="I528" s="3" t="s">
        <v>31</v>
      </c>
      <c r="J528" s="3" t="s">
        <v>31</v>
      </c>
      <c r="K528" s="7" t="s">
        <v>51</v>
      </c>
      <c r="L528" s="9">
        <v>15</v>
      </c>
      <c r="M528" s="9">
        <v>0</v>
      </c>
      <c r="N528" s="9">
        <f t="shared" si="47"/>
        <v>15</v>
      </c>
      <c r="O528" s="9"/>
      <c r="P528" s="9"/>
      <c r="Q528" s="25"/>
      <c r="R528" s="11">
        <v>0</v>
      </c>
      <c r="S528" s="1">
        <v>0.12</v>
      </c>
      <c r="T528" s="1">
        <f t="shared" si="48"/>
        <v>0.12</v>
      </c>
      <c r="U528" s="12">
        <v>0</v>
      </c>
      <c r="V528" s="31">
        <v>40.639330342105275</v>
      </c>
      <c r="W528" s="14">
        <f t="shared" si="49"/>
        <v>7315.0794615789491</v>
      </c>
      <c r="X528" s="25"/>
      <c r="Y528" s="14">
        <f t="shared" si="51"/>
        <v>7315.0794615789491</v>
      </c>
      <c r="Z528" s="3"/>
      <c r="AA528" s="3"/>
      <c r="AB528" s="5"/>
      <c r="AC528" s="5"/>
      <c r="AD528" s="32"/>
      <c r="AE528" s="28"/>
      <c r="AF528" s="3"/>
      <c r="AG528" s="7"/>
      <c r="AH528" s="7"/>
      <c r="AI528" s="3" t="s">
        <v>107</v>
      </c>
      <c r="AJ528" s="7" t="s">
        <v>67</v>
      </c>
      <c r="AK528" s="3"/>
      <c r="AL528" cm="1">
        <f t="array" ref="AL528">IF(getColor(V528) = 16777215, 0, 1)</f>
        <v>1</v>
      </c>
    </row>
    <row r="529" spans="1:38">
      <c r="A529" s="1">
        <v>528</v>
      </c>
      <c r="B529" s="3" t="s">
        <v>27</v>
      </c>
      <c r="C529" s="7" t="s">
        <v>294</v>
      </c>
      <c r="D529" s="7" t="s">
        <v>206</v>
      </c>
      <c r="E529" s="8">
        <v>55.72076666666667</v>
      </c>
      <c r="F529" s="8">
        <v>-131.69163333333333</v>
      </c>
      <c r="G529" s="9" t="s">
        <v>30</v>
      </c>
      <c r="H529" s="3" t="s">
        <v>31</v>
      </c>
      <c r="I529" s="3" t="s">
        <v>31</v>
      </c>
      <c r="J529" s="3" t="s">
        <v>31</v>
      </c>
      <c r="K529" s="7" t="s">
        <v>47</v>
      </c>
      <c r="L529" s="9">
        <v>0</v>
      </c>
      <c r="M529" s="9">
        <v>5</v>
      </c>
      <c r="N529" s="9">
        <f t="shared" si="47"/>
        <v>5</v>
      </c>
      <c r="O529" s="9"/>
      <c r="P529" s="9"/>
      <c r="Q529" s="25"/>
      <c r="R529" s="11">
        <v>0</v>
      </c>
      <c r="S529" s="1">
        <v>0.93</v>
      </c>
      <c r="T529" s="1">
        <f t="shared" si="48"/>
        <v>0.93</v>
      </c>
      <c r="U529" s="12">
        <v>1</v>
      </c>
      <c r="V529" s="13">
        <v>5.3585250000000002</v>
      </c>
      <c r="W529" s="14">
        <f t="shared" si="49"/>
        <v>2466.79698375</v>
      </c>
      <c r="X529" s="25"/>
      <c r="Y529" s="14">
        <f t="shared" si="51"/>
        <v>2466.79698375</v>
      </c>
      <c r="Z529" s="3"/>
      <c r="AA529" s="3"/>
      <c r="AB529" s="5"/>
      <c r="AC529" s="1"/>
      <c r="AD529" s="32"/>
      <c r="AE529" s="28"/>
      <c r="AF529" s="3"/>
      <c r="AG529" s="7"/>
      <c r="AH529" s="7"/>
      <c r="AI529" s="3" t="s">
        <v>107</v>
      </c>
      <c r="AJ529" s="7" t="s">
        <v>47</v>
      </c>
      <c r="AK529" s="3"/>
      <c r="AL529" cm="1">
        <f t="array" ref="AL529">IF(getColor(V529) = 16777215, 0, 1)</f>
        <v>0</v>
      </c>
    </row>
    <row r="530" spans="1:38">
      <c r="A530" s="1">
        <v>529</v>
      </c>
      <c r="B530" s="3" t="s">
        <v>27</v>
      </c>
      <c r="C530" s="7" t="s">
        <v>294</v>
      </c>
      <c r="D530" s="7" t="s">
        <v>206</v>
      </c>
      <c r="E530" s="8">
        <v>55.72076666666667</v>
      </c>
      <c r="F530" s="8">
        <v>-131.69163333333333</v>
      </c>
      <c r="G530" s="9" t="s">
        <v>30</v>
      </c>
      <c r="H530" s="3" t="s">
        <v>31</v>
      </c>
      <c r="I530" s="3" t="s">
        <v>31</v>
      </c>
      <c r="J530" s="3" t="s">
        <v>31</v>
      </c>
      <c r="K530" s="7" t="s">
        <v>68</v>
      </c>
      <c r="L530" s="9">
        <v>5</v>
      </c>
      <c r="M530" s="9">
        <v>18</v>
      </c>
      <c r="N530" s="9">
        <f t="shared" si="47"/>
        <v>13</v>
      </c>
      <c r="O530" s="9"/>
      <c r="P530" s="9"/>
      <c r="Q530" s="25"/>
      <c r="R530" s="11">
        <v>0</v>
      </c>
      <c r="S530" s="1">
        <v>0.86</v>
      </c>
      <c r="T530" s="1">
        <f t="shared" si="48"/>
        <v>0.86</v>
      </c>
      <c r="U530" s="12">
        <v>2</v>
      </c>
      <c r="V530" s="13">
        <v>9.5487950000000001</v>
      </c>
      <c r="W530" s="14">
        <f t="shared" si="49"/>
        <v>10462.041753799998</v>
      </c>
      <c r="X530" s="25"/>
      <c r="Y530" s="14">
        <f t="shared" si="51"/>
        <v>10462.041753799998</v>
      </c>
      <c r="Z530" s="3"/>
      <c r="AA530" s="3"/>
      <c r="AB530" s="5"/>
      <c r="AC530" s="1"/>
      <c r="AD530" s="28"/>
      <c r="AE530" s="28"/>
      <c r="AF530" s="3"/>
      <c r="AG530" s="7"/>
      <c r="AH530" s="7"/>
      <c r="AI530" s="3" t="s">
        <v>107</v>
      </c>
      <c r="AJ530" s="7" t="s">
        <v>68</v>
      </c>
      <c r="AK530" s="3"/>
      <c r="AL530" cm="1">
        <f t="array" ref="AL530">IF(getColor(V530) = 16777215, 0, 1)</f>
        <v>0</v>
      </c>
    </row>
    <row r="531" spans="1:38">
      <c r="A531" s="1">
        <v>530</v>
      </c>
      <c r="B531" s="3" t="s">
        <v>27</v>
      </c>
      <c r="C531" s="7" t="s">
        <v>294</v>
      </c>
      <c r="D531" s="7" t="s">
        <v>206</v>
      </c>
      <c r="E531" s="8">
        <v>55.72076666666667</v>
      </c>
      <c r="F531" s="8">
        <v>-131.69163333333333</v>
      </c>
      <c r="G531" s="9" t="s">
        <v>30</v>
      </c>
      <c r="H531" s="3" t="s">
        <v>31</v>
      </c>
      <c r="I531" s="3" t="s">
        <v>31</v>
      </c>
      <c r="J531" s="3" t="s">
        <v>31</v>
      </c>
      <c r="K531" s="7" t="s">
        <v>41</v>
      </c>
      <c r="L531" s="9">
        <v>18</v>
      </c>
      <c r="M531" s="9">
        <v>40</v>
      </c>
      <c r="N531" s="9">
        <f t="shared" si="47"/>
        <v>22</v>
      </c>
      <c r="O531" s="9"/>
      <c r="P531" s="9"/>
      <c r="Q531" s="25"/>
      <c r="R531" s="11">
        <v>0</v>
      </c>
      <c r="S531" s="1">
        <v>1.17</v>
      </c>
      <c r="T531" s="1">
        <f t="shared" si="48"/>
        <v>1.17</v>
      </c>
      <c r="U531" s="12">
        <v>4</v>
      </c>
      <c r="V531" s="13">
        <v>5.8992050000000003</v>
      </c>
      <c r="W531" s="14">
        <f t="shared" si="49"/>
        <v>14577.171523199999</v>
      </c>
      <c r="X531" s="25"/>
      <c r="Y531" s="14">
        <f t="shared" si="51"/>
        <v>14577.171523199999</v>
      </c>
      <c r="Z531" s="3"/>
      <c r="AA531" s="3"/>
      <c r="AB531" s="5"/>
      <c r="AC531" s="1"/>
      <c r="AD531" s="28"/>
      <c r="AE531" s="28"/>
      <c r="AF531" s="3"/>
      <c r="AG531" s="7"/>
      <c r="AH531" s="7"/>
      <c r="AI531" s="3" t="s">
        <v>107</v>
      </c>
      <c r="AJ531" s="7" t="s">
        <v>61</v>
      </c>
      <c r="AK531" s="3"/>
      <c r="AL531" cm="1">
        <f t="array" ref="AL531">IF(getColor(V531) = 16777215, 0, 1)</f>
        <v>0</v>
      </c>
    </row>
    <row r="532" spans="1:38">
      <c r="A532" s="1">
        <v>531</v>
      </c>
      <c r="B532" s="3" t="s">
        <v>27</v>
      </c>
      <c r="C532" s="7" t="s">
        <v>294</v>
      </c>
      <c r="D532" s="7" t="s">
        <v>206</v>
      </c>
      <c r="E532" s="8">
        <v>55.72076666666667</v>
      </c>
      <c r="F532" s="8">
        <v>-131.69163333333333</v>
      </c>
      <c r="G532" s="9" t="s">
        <v>30</v>
      </c>
      <c r="H532" s="3" t="s">
        <v>31</v>
      </c>
      <c r="I532" s="3" t="s">
        <v>31</v>
      </c>
      <c r="J532" s="3" t="s">
        <v>31</v>
      </c>
      <c r="K532" s="7" t="s">
        <v>79</v>
      </c>
      <c r="L532" s="9">
        <v>40</v>
      </c>
      <c r="M532" s="9">
        <v>71</v>
      </c>
      <c r="N532" s="9">
        <f t="shared" si="47"/>
        <v>31</v>
      </c>
      <c r="O532" s="9"/>
      <c r="P532" s="9"/>
      <c r="Q532" s="25"/>
      <c r="R532" s="11">
        <v>0</v>
      </c>
      <c r="S532" s="1">
        <v>1.71</v>
      </c>
      <c r="T532" s="1">
        <f t="shared" si="48"/>
        <v>1.71</v>
      </c>
      <c r="U532" s="12">
        <v>3</v>
      </c>
      <c r="V532" s="13">
        <v>5.2426649999999997</v>
      </c>
      <c r="W532" s="14">
        <f t="shared" si="49"/>
        <v>26957.626150050004</v>
      </c>
      <c r="X532" s="25"/>
      <c r="Y532" s="14">
        <f t="shared" si="51"/>
        <v>26957.626150050004</v>
      </c>
      <c r="Z532" s="3"/>
      <c r="AA532" s="3"/>
      <c r="AB532" s="5"/>
      <c r="AC532" s="1"/>
      <c r="AD532" s="28"/>
      <c r="AE532" s="28"/>
      <c r="AF532" s="3"/>
      <c r="AG532" s="7"/>
      <c r="AH532" s="7"/>
      <c r="AI532" s="3" t="s">
        <v>107</v>
      </c>
      <c r="AJ532" s="7" t="s">
        <v>79</v>
      </c>
      <c r="AK532" s="3"/>
      <c r="AL532" cm="1">
        <f t="array" ref="AL532">IF(getColor(V532) = 16777215, 0, 1)</f>
        <v>0</v>
      </c>
    </row>
    <row r="533" spans="1:38">
      <c r="A533" s="1">
        <v>532</v>
      </c>
      <c r="B533" s="3" t="s">
        <v>27</v>
      </c>
      <c r="C533" s="7" t="s">
        <v>294</v>
      </c>
      <c r="D533" s="7" t="s">
        <v>206</v>
      </c>
      <c r="E533" s="8">
        <v>55.72076666666667</v>
      </c>
      <c r="F533" s="8">
        <v>-131.69163333333333</v>
      </c>
      <c r="G533" s="9" t="s">
        <v>30</v>
      </c>
      <c r="H533" s="3" t="s">
        <v>31</v>
      </c>
      <c r="I533" s="3" t="s">
        <v>31</v>
      </c>
      <c r="J533" s="3" t="s">
        <v>31</v>
      </c>
      <c r="K533" s="7" t="s">
        <v>44</v>
      </c>
      <c r="L533" s="9">
        <v>71</v>
      </c>
      <c r="M533" s="9">
        <v>100</v>
      </c>
      <c r="N533" s="9">
        <f t="shared" si="47"/>
        <v>29</v>
      </c>
      <c r="O533" s="9"/>
      <c r="P533" s="9"/>
      <c r="Q533" s="25"/>
      <c r="R533" s="11">
        <v>0</v>
      </c>
      <c r="S533" s="1">
        <v>1.74</v>
      </c>
      <c r="T533" s="1">
        <f t="shared" si="48"/>
        <v>1.74</v>
      </c>
      <c r="U533" s="12">
        <v>5</v>
      </c>
      <c r="V533" s="13">
        <v>4.4799199999999999</v>
      </c>
      <c r="W533" s="14">
        <f t="shared" si="49"/>
        <v>21475.392503999999</v>
      </c>
      <c r="X533" s="25"/>
      <c r="Y533" s="14">
        <f t="shared" si="51"/>
        <v>21475.392503999999</v>
      </c>
      <c r="Z533" s="3"/>
      <c r="AA533" s="3"/>
      <c r="AB533" s="5"/>
      <c r="AC533" s="1"/>
      <c r="AD533" s="28"/>
      <c r="AE533" s="28"/>
      <c r="AF533" s="3"/>
      <c r="AG533" s="7"/>
      <c r="AH533" s="7"/>
      <c r="AI533" s="3" t="s">
        <v>107</v>
      </c>
      <c r="AJ533" s="7" t="s">
        <v>44</v>
      </c>
      <c r="AK533" s="3"/>
      <c r="AL533" cm="1">
        <f t="array" ref="AL533">IF(getColor(V533) = 16777215, 0, 1)</f>
        <v>0</v>
      </c>
    </row>
    <row r="534" spans="1:38">
      <c r="A534" s="1">
        <v>533</v>
      </c>
      <c r="B534" s="3" t="s">
        <v>27</v>
      </c>
      <c r="C534" s="7" t="s">
        <v>295</v>
      </c>
      <c r="D534" s="7" t="s">
        <v>168</v>
      </c>
      <c r="E534" s="8">
        <v>55.72076666666667</v>
      </c>
      <c r="F534" s="8">
        <v>-131.69163333333333</v>
      </c>
      <c r="G534" s="9" t="s">
        <v>30</v>
      </c>
      <c r="H534" s="3" t="s">
        <v>31</v>
      </c>
      <c r="I534" s="3" t="s">
        <v>31</v>
      </c>
      <c r="J534" s="3" t="s">
        <v>31</v>
      </c>
      <c r="K534" s="7" t="s">
        <v>49</v>
      </c>
      <c r="L534" s="9">
        <v>13</v>
      </c>
      <c r="M534" s="9">
        <v>8</v>
      </c>
      <c r="N534" s="9">
        <f t="shared" si="47"/>
        <v>5</v>
      </c>
      <c r="O534" s="29">
        <f>M538</f>
        <v>100</v>
      </c>
      <c r="P534" s="29">
        <f>L534</f>
        <v>13</v>
      </c>
      <c r="Q534" s="29">
        <f>P534+O534</f>
        <v>113</v>
      </c>
      <c r="R534" s="11">
        <v>0</v>
      </c>
      <c r="S534" s="1">
        <v>0.08</v>
      </c>
      <c r="T534" s="1">
        <f t="shared" si="48"/>
        <v>0.08</v>
      </c>
      <c r="U534" s="12">
        <v>0</v>
      </c>
      <c r="V534" s="31">
        <v>36.66627891666667</v>
      </c>
      <c r="W534" s="14">
        <f t="shared" si="49"/>
        <v>1466.6511566666668</v>
      </c>
      <c r="X534" s="14">
        <f>SUM(W534:W538)</f>
        <v>62916.062035258758</v>
      </c>
      <c r="Y534" s="14">
        <f t="shared" si="51"/>
        <v>1466.6511566666668</v>
      </c>
      <c r="Z534" s="15">
        <f>SUM(Y534:Y538)/10^6*10^4</f>
        <v>629.16062035258767</v>
      </c>
      <c r="AA534" s="16">
        <v>65.978811710184175</v>
      </c>
      <c r="AB534" s="5"/>
      <c r="AC534" s="1"/>
      <c r="AD534" s="28"/>
      <c r="AE534" s="28"/>
      <c r="AF534" s="3"/>
      <c r="AG534" s="7"/>
      <c r="AH534" s="7"/>
      <c r="AI534" s="3" t="s">
        <v>75</v>
      </c>
      <c r="AJ534" s="7" t="s">
        <v>60</v>
      </c>
      <c r="AK534" s="3"/>
      <c r="AL534" cm="1">
        <f t="array" ref="AL534">IF(getColor(V534) = 16777215, 0, 1)</f>
        <v>1</v>
      </c>
    </row>
    <row r="535" spans="1:38">
      <c r="A535" s="1">
        <v>534</v>
      </c>
      <c r="B535" s="3" t="s">
        <v>27</v>
      </c>
      <c r="C535" s="7" t="s">
        <v>295</v>
      </c>
      <c r="D535" s="7" t="s">
        <v>168</v>
      </c>
      <c r="E535" s="8">
        <v>55.72076666666667</v>
      </c>
      <c r="F535" s="8">
        <v>-131.69163333333333</v>
      </c>
      <c r="G535" s="9" t="s">
        <v>30</v>
      </c>
      <c r="H535" s="3" t="s">
        <v>31</v>
      </c>
      <c r="I535" s="3" t="s">
        <v>31</v>
      </c>
      <c r="J535" s="3" t="s">
        <v>31</v>
      </c>
      <c r="K535" s="7" t="s">
        <v>51</v>
      </c>
      <c r="L535" s="9">
        <v>8</v>
      </c>
      <c r="M535" s="9">
        <v>0</v>
      </c>
      <c r="N535" s="9">
        <f t="shared" si="47"/>
        <v>8</v>
      </c>
      <c r="O535" s="9"/>
      <c r="P535" s="9"/>
      <c r="Q535" s="25"/>
      <c r="R535" s="11">
        <v>0</v>
      </c>
      <c r="S535" s="1">
        <v>0.12</v>
      </c>
      <c r="T535" s="1">
        <f t="shared" si="48"/>
        <v>0.12</v>
      </c>
      <c r="U535" s="12">
        <v>0</v>
      </c>
      <c r="V535" s="31">
        <v>40.639330342105275</v>
      </c>
      <c r="W535" s="14">
        <f t="shared" si="49"/>
        <v>3901.3757128421062</v>
      </c>
      <c r="X535" s="25"/>
      <c r="Y535" s="14">
        <f t="shared" si="51"/>
        <v>3901.3757128421062</v>
      </c>
      <c r="Z535" s="3"/>
      <c r="AA535" s="3"/>
      <c r="AB535" s="5"/>
      <c r="AC535" s="5"/>
      <c r="AD535" s="32"/>
      <c r="AE535" s="28"/>
      <c r="AF535" s="3"/>
      <c r="AG535" s="7"/>
      <c r="AH535" s="7"/>
      <c r="AI535" s="3" t="s">
        <v>75</v>
      </c>
      <c r="AJ535" s="7" t="s">
        <v>67</v>
      </c>
      <c r="AK535" s="3"/>
      <c r="AL535" cm="1">
        <f t="array" ref="AL535">IF(getColor(V535) = 16777215, 0, 1)</f>
        <v>1</v>
      </c>
    </row>
    <row r="536" spans="1:38">
      <c r="A536" s="1">
        <v>535</v>
      </c>
      <c r="B536" s="3" t="s">
        <v>27</v>
      </c>
      <c r="C536" s="7" t="s">
        <v>295</v>
      </c>
      <c r="D536" s="7" t="s">
        <v>168</v>
      </c>
      <c r="E536" s="8">
        <v>55.72076666666667</v>
      </c>
      <c r="F536" s="8">
        <v>-131.69163333333333</v>
      </c>
      <c r="G536" s="9" t="s">
        <v>30</v>
      </c>
      <c r="H536" s="3" t="s">
        <v>31</v>
      </c>
      <c r="I536" s="3" t="s">
        <v>31</v>
      </c>
      <c r="J536" s="3" t="s">
        <v>31</v>
      </c>
      <c r="K536" s="7" t="s">
        <v>41</v>
      </c>
      <c r="L536" s="9">
        <v>0</v>
      </c>
      <c r="M536" s="9">
        <v>12</v>
      </c>
      <c r="N536" s="9">
        <f t="shared" si="47"/>
        <v>12</v>
      </c>
      <c r="O536" s="9"/>
      <c r="P536" s="9"/>
      <c r="Q536" s="25"/>
      <c r="R536" s="11">
        <v>0</v>
      </c>
      <c r="S536" s="1">
        <v>1.46</v>
      </c>
      <c r="T536" s="1">
        <f t="shared" si="48"/>
        <v>1.46</v>
      </c>
      <c r="U536" s="12">
        <v>9</v>
      </c>
      <c r="V536" s="13">
        <v>4.2771650000000001</v>
      </c>
      <c r="W536" s="14">
        <f t="shared" si="49"/>
        <v>6819.1697028000008</v>
      </c>
      <c r="X536" s="25"/>
      <c r="Y536" s="14">
        <f t="shared" si="51"/>
        <v>6819.1697028000008</v>
      </c>
      <c r="Z536" s="3"/>
      <c r="AA536" s="3"/>
      <c r="AB536" s="5"/>
      <c r="AC536" s="1"/>
      <c r="AD536" s="32"/>
      <c r="AE536" s="28"/>
      <c r="AF536" s="3"/>
      <c r="AG536" s="7"/>
      <c r="AH536" s="7"/>
      <c r="AI536" s="3" t="s">
        <v>75</v>
      </c>
      <c r="AJ536" s="7" t="s">
        <v>61</v>
      </c>
      <c r="AK536" s="3"/>
      <c r="AL536" cm="1">
        <f t="array" ref="AL536">IF(getColor(V536) = 16777215, 0, 1)</f>
        <v>0</v>
      </c>
    </row>
    <row r="537" spans="1:38">
      <c r="A537" s="1">
        <v>536</v>
      </c>
      <c r="B537" s="3" t="s">
        <v>27</v>
      </c>
      <c r="C537" s="7" t="s">
        <v>295</v>
      </c>
      <c r="D537" s="7" t="s">
        <v>168</v>
      </c>
      <c r="E537" s="8">
        <v>55.72076666666667</v>
      </c>
      <c r="F537" s="8">
        <v>-131.69163333333333</v>
      </c>
      <c r="G537" s="9" t="s">
        <v>30</v>
      </c>
      <c r="H537" s="3" t="s">
        <v>31</v>
      </c>
      <c r="I537" s="3" t="s">
        <v>31</v>
      </c>
      <c r="J537" s="3" t="s">
        <v>31</v>
      </c>
      <c r="K537" s="7" t="s">
        <v>79</v>
      </c>
      <c r="L537" s="9">
        <v>12</v>
      </c>
      <c r="M537" s="9">
        <v>43</v>
      </c>
      <c r="N537" s="9">
        <f t="shared" si="47"/>
        <v>31</v>
      </c>
      <c r="O537" s="9"/>
      <c r="P537" s="9"/>
      <c r="Q537" s="25"/>
      <c r="R537" s="11">
        <v>0</v>
      </c>
      <c r="S537" s="1">
        <v>1.19</v>
      </c>
      <c r="T537" s="1">
        <f t="shared" si="48"/>
        <v>1.19</v>
      </c>
      <c r="U537" s="12">
        <v>8</v>
      </c>
      <c r="V537" s="13">
        <v>4.3254400000000004</v>
      </c>
      <c r="W537" s="14">
        <f t="shared" si="49"/>
        <v>14680.024307200001</v>
      </c>
      <c r="X537" s="25"/>
      <c r="Y537" s="14">
        <f t="shared" si="51"/>
        <v>14680.024307200001</v>
      </c>
      <c r="Z537" s="3"/>
      <c r="AA537" s="3"/>
      <c r="AB537" s="5"/>
      <c r="AC537" s="1"/>
      <c r="AD537" s="28"/>
      <c r="AE537" s="28"/>
      <c r="AF537" s="3"/>
      <c r="AG537" s="7"/>
      <c r="AH537" s="7"/>
      <c r="AI537" s="3" t="s">
        <v>75</v>
      </c>
      <c r="AJ537" s="7" t="s">
        <v>79</v>
      </c>
      <c r="AK537" s="3"/>
      <c r="AL537" cm="1">
        <f t="array" ref="AL537">IF(getColor(V537) = 16777215, 0, 1)</f>
        <v>0</v>
      </c>
    </row>
    <row r="538" spans="1:38">
      <c r="A538" s="1">
        <v>537</v>
      </c>
      <c r="B538" s="3" t="s">
        <v>27</v>
      </c>
      <c r="C538" s="7" t="s">
        <v>295</v>
      </c>
      <c r="D538" s="7" t="s">
        <v>168</v>
      </c>
      <c r="E538" s="8">
        <v>55.72076666666667</v>
      </c>
      <c r="F538" s="8">
        <v>-131.69163333333333</v>
      </c>
      <c r="G538" s="9" t="s">
        <v>30</v>
      </c>
      <c r="H538" s="3" t="s">
        <v>31</v>
      </c>
      <c r="I538" s="3" t="s">
        <v>31</v>
      </c>
      <c r="J538" s="3" t="s">
        <v>31</v>
      </c>
      <c r="K538" s="7" t="s">
        <v>44</v>
      </c>
      <c r="L538" s="9">
        <v>43</v>
      </c>
      <c r="M538" s="9">
        <v>100</v>
      </c>
      <c r="N538" s="9">
        <f t="shared" si="47"/>
        <v>57</v>
      </c>
      <c r="O538" s="9"/>
      <c r="P538" s="9"/>
      <c r="Q538" s="25"/>
      <c r="R538" s="11">
        <v>0</v>
      </c>
      <c r="S538" s="1">
        <v>1.91</v>
      </c>
      <c r="T538" s="1">
        <f t="shared" si="48"/>
        <v>1.91</v>
      </c>
      <c r="U538" s="12">
        <v>5</v>
      </c>
      <c r="V538" s="13">
        <v>3.485455</v>
      </c>
      <c r="W538" s="14">
        <f t="shared" si="49"/>
        <v>36048.841155749986</v>
      </c>
      <c r="X538" s="25"/>
      <c r="Y538" s="14">
        <f t="shared" si="51"/>
        <v>36048.841155749986</v>
      </c>
      <c r="Z538" s="3"/>
      <c r="AA538" s="3"/>
      <c r="AB538" s="5"/>
      <c r="AC538" s="1"/>
      <c r="AD538" s="28"/>
      <c r="AE538" s="28"/>
      <c r="AF538" s="3"/>
      <c r="AG538" s="7"/>
      <c r="AH538" s="7"/>
      <c r="AI538" s="3" t="s">
        <v>75</v>
      </c>
      <c r="AJ538" s="7" t="s">
        <v>44</v>
      </c>
      <c r="AK538" s="3"/>
      <c r="AL538" cm="1">
        <f t="array" ref="AL538">IF(getColor(V538) = 16777215, 0, 1)</f>
        <v>0</v>
      </c>
    </row>
    <row r="539" spans="1:38">
      <c r="A539" s="1">
        <v>538</v>
      </c>
      <c r="B539" s="3" t="s">
        <v>27</v>
      </c>
      <c r="C539" s="7" t="s">
        <v>296</v>
      </c>
      <c r="D539" s="7" t="s">
        <v>156</v>
      </c>
      <c r="E539" s="8">
        <v>55.72076666666667</v>
      </c>
      <c r="F539" s="8">
        <v>-131.69163333333333</v>
      </c>
      <c r="G539" s="9" t="s">
        <v>30</v>
      </c>
      <c r="H539" s="3" t="s">
        <v>31</v>
      </c>
      <c r="I539" s="3" t="s">
        <v>31</v>
      </c>
      <c r="J539" s="3" t="s">
        <v>31</v>
      </c>
      <c r="K539" s="7" t="s">
        <v>49</v>
      </c>
      <c r="L539" s="9">
        <v>28</v>
      </c>
      <c r="M539" s="9">
        <v>23</v>
      </c>
      <c r="N539" s="9">
        <f t="shared" si="47"/>
        <v>5</v>
      </c>
      <c r="O539" s="29">
        <f>M544</f>
        <v>74</v>
      </c>
      <c r="P539" s="29">
        <f>L539</f>
        <v>28</v>
      </c>
      <c r="Q539" s="29">
        <f>P539+O539</f>
        <v>102</v>
      </c>
      <c r="R539" s="11">
        <v>0</v>
      </c>
      <c r="S539" s="1">
        <v>0.08</v>
      </c>
      <c r="T539" s="1">
        <f t="shared" si="48"/>
        <v>0.08</v>
      </c>
      <c r="U539" s="12">
        <v>0</v>
      </c>
      <c r="V539" s="31">
        <v>36.66627891666667</v>
      </c>
      <c r="W539" s="14">
        <f t="shared" si="49"/>
        <v>1466.6511566666668</v>
      </c>
      <c r="X539" s="14">
        <f>SUM(W539:W544)</f>
        <v>64577.049719737712</v>
      </c>
      <c r="Y539" s="14">
        <f t="shared" si="51"/>
        <v>1466.6511566666668</v>
      </c>
      <c r="Z539" s="15">
        <f>SUM(Y539:Y544)/10^6*10^4</f>
        <v>645.77049719737715</v>
      </c>
      <c r="AA539" s="16">
        <v>114.72831548451747</v>
      </c>
      <c r="AB539" s="5"/>
      <c r="AC539" s="1"/>
      <c r="AD539" s="28"/>
      <c r="AE539" s="28"/>
      <c r="AF539" s="3"/>
      <c r="AG539" s="7"/>
      <c r="AH539" s="7"/>
      <c r="AI539" s="3" t="s">
        <v>107</v>
      </c>
      <c r="AJ539" s="7" t="s">
        <v>60</v>
      </c>
      <c r="AK539" s="3"/>
      <c r="AL539" cm="1">
        <f t="array" ref="AL539">IF(getColor(V539) = 16777215, 0, 1)</f>
        <v>1</v>
      </c>
    </row>
    <row r="540" spans="1:38">
      <c r="A540" s="1">
        <v>539</v>
      </c>
      <c r="B540" s="3" t="s">
        <v>27</v>
      </c>
      <c r="C540" s="7" t="s">
        <v>296</v>
      </c>
      <c r="D540" s="7" t="s">
        <v>156</v>
      </c>
      <c r="E540" s="8">
        <v>55.72076666666667</v>
      </c>
      <c r="F540" s="8">
        <v>-131.69163333333333</v>
      </c>
      <c r="G540" s="9" t="s">
        <v>30</v>
      </c>
      <c r="H540" s="3" t="s">
        <v>31</v>
      </c>
      <c r="I540" s="3" t="s">
        <v>31</v>
      </c>
      <c r="J540" s="3" t="s">
        <v>31</v>
      </c>
      <c r="K540" s="7" t="s">
        <v>51</v>
      </c>
      <c r="L540" s="9">
        <v>23</v>
      </c>
      <c r="M540" s="9">
        <v>0</v>
      </c>
      <c r="N540" s="9">
        <f t="shared" si="47"/>
        <v>23</v>
      </c>
      <c r="O540" s="9"/>
      <c r="P540" s="9"/>
      <c r="Q540" s="25"/>
      <c r="R540" s="11">
        <v>0</v>
      </c>
      <c r="S540" s="1">
        <v>0.12</v>
      </c>
      <c r="T540" s="1">
        <f t="shared" si="48"/>
        <v>0.12</v>
      </c>
      <c r="U540" s="12">
        <v>0</v>
      </c>
      <c r="V540" s="31">
        <v>40.639330342105275</v>
      </c>
      <c r="W540" s="14">
        <f t="shared" si="49"/>
        <v>11216.455174421055</v>
      </c>
      <c r="X540" s="25"/>
      <c r="Y540" s="14">
        <f t="shared" si="51"/>
        <v>11216.455174421055</v>
      </c>
      <c r="Z540" s="3"/>
      <c r="AA540" s="3"/>
      <c r="AB540" s="5"/>
      <c r="AC540" s="5"/>
      <c r="AD540" s="32"/>
      <c r="AE540" s="28"/>
      <c r="AF540" s="3"/>
      <c r="AG540" s="7"/>
      <c r="AH540" s="7"/>
      <c r="AI540" s="3" t="s">
        <v>107</v>
      </c>
      <c r="AJ540" s="7" t="s">
        <v>67</v>
      </c>
      <c r="AK540" s="3"/>
      <c r="AL540" cm="1">
        <f t="array" ref="AL540">IF(getColor(V540) = 16777215, 0, 1)</f>
        <v>1</v>
      </c>
    </row>
    <row r="541" spans="1:38">
      <c r="A541" s="1">
        <v>540</v>
      </c>
      <c r="B541" s="3" t="s">
        <v>27</v>
      </c>
      <c r="C541" s="7" t="s">
        <v>296</v>
      </c>
      <c r="D541" s="7" t="s">
        <v>156</v>
      </c>
      <c r="E541" s="8">
        <v>55.72076666666667</v>
      </c>
      <c r="F541" s="8">
        <v>-131.69163333333333</v>
      </c>
      <c r="G541" s="9" t="s">
        <v>30</v>
      </c>
      <c r="H541" s="3" t="s">
        <v>31</v>
      </c>
      <c r="I541" s="3" t="s">
        <v>31</v>
      </c>
      <c r="J541" s="3" t="s">
        <v>31</v>
      </c>
      <c r="K541" s="7" t="s">
        <v>47</v>
      </c>
      <c r="L541" s="9">
        <v>0</v>
      </c>
      <c r="M541" s="9">
        <v>3</v>
      </c>
      <c r="N541" s="9">
        <f t="shared" si="47"/>
        <v>3</v>
      </c>
      <c r="O541" s="9"/>
      <c r="P541" s="9"/>
      <c r="Q541" s="25"/>
      <c r="R541" s="11">
        <v>0</v>
      </c>
      <c r="S541" s="1">
        <v>0.93</v>
      </c>
      <c r="T541" s="1">
        <f t="shared" si="48"/>
        <v>0.93</v>
      </c>
      <c r="U541" s="12">
        <v>2</v>
      </c>
      <c r="V541" s="13">
        <v>3.7268300000000001</v>
      </c>
      <c r="W541" s="14">
        <f t="shared" si="49"/>
        <v>1018.9898585999999</v>
      </c>
      <c r="X541" s="25"/>
      <c r="Y541" s="14">
        <f t="shared" si="51"/>
        <v>1018.9898585999999</v>
      </c>
      <c r="Z541" s="3"/>
      <c r="AA541" s="3"/>
      <c r="AB541" s="5"/>
      <c r="AC541" s="1"/>
      <c r="AD541" s="32"/>
      <c r="AE541" s="28"/>
      <c r="AF541" s="3"/>
      <c r="AG541" s="7"/>
      <c r="AH541" s="7"/>
      <c r="AI541" s="3" t="s">
        <v>107</v>
      </c>
      <c r="AJ541" s="7" t="s">
        <v>47</v>
      </c>
      <c r="AK541" s="3"/>
      <c r="AL541" cm="1">
        <f t="array" ref="AL541">IF(getColor(V541) = 16777215, 0, 1)</f>
        <v>0</v>
      </c>
    </row>
    <row r="542" spans="1:38">
      <c r="A542" s="1">
        <v>541</v>
      </c>
      <c r="B542" s="3" t="s">
        <v>27</v>
      </c>
      <c r="C542" s="7" t="s">
        <v>296</v>
      </c>
      <c r="D542" s="7" t="s">
        <v>156</v>
      </c>
      <c r="E542" s="8">
        <v>55.72076666666667</v>
      </c>
      <c r="F542" s="8">
        <v>-131.69163333333333</v>
      </c>
      <c r="G542" s="9" t="s">
        <v>30</v>
      </c>
      <c r="H542" s="3" t="s">
        <v>31</v>
      </c>
      <c r="I542" s="3" t="s">
        <v>31</v>
      </c>
      <c r="J542" s="3" t="s">
        <v>31</v>
      </c>
      <c r="K542" s="7" t="s">
        <v>68</v>
      </c>
      <c r="L542" s="9">
        <v>3</v>
      </c>
      <c r="M542" s="9">
        <v>15</v>
      </c>
      <c r="N542" s="9">
        <f t="shared" si="47"/>
        <v>12</v>
      </c>
      <c r="O542" s="9"/>
      <c r="P542" s="9"/>
      <c r="Q542" s="25"/>
      <c r="R542" s="11">
        <v>0</v>
      </c>
      <c r="S542" s="1">
        <v>0.86</v>
      </c>
      <c r="T542" s="1">
        <f t="shared" si="48"/>
        <v>0.86</v>
      </c>
      <c r="U542" s="12">
        <v>1</v>
      </c>
      <c r="V542" s="13">
        <v>12.425984999999999</v>
      </c>
      <c r="W542" s="14">
        <f t="shared" si="49"/>
        <v>12695.3803548</v>
      </c>
      <c r="X542" s="25"/>
      <c r="Y542" s="14">
        <f t="shared" si="51"/>
        <v>12695.3803548</v>
      </c>
      <c r="Z542" s="3"/>
      <c r="AA542" s="3"/>
      <c r="AB542" s="5"/>
      <c r="AC542" s="1"/>
      <c r="AD542" s="28"/>
      <c r="AE542" s="28"/>
      <c r="AF542" s="3"/>
      <c r="AG542" s="7"/>
      <c r="AH542" s="7"/>
      <c r="AI542" s="3" t="s">
        <v>107</v>
      </c>
      <c r="AJ542" s="7" t="s">
        <v>68</v>
      </c>
      <c r="AK542" s="3"/>
      <c r="AL542" cm="1">
        <f t="array" ref="AL542">IF(getColor(V542) = 16777215, 0, 1)</f>
        <v>0</v>
      </c>
    </row>
    <row r="543" spans="1:38">
      <c r="A543" s="1">
        <v>542</v>
      </c>
      <c r="B543" s="3" t="s">
        <v>27</v>
      </c>
      <c r="C543" s="7" t="s">
        <v>296</v>
      </c>
      <c r="D543" s="7" t="s">
        <v>156</v>
      </c>
      <c r="E543" s="8">
        <v>55.72076666666667</v>
      </c>
      <c r="F543" s="8">
        <v>-131.69163333333333</v>
      </c>
      <c r="G543" s="9" t="s">
        <v>30</v>
      </c>
      <c r="H543" s="3" t="s">
        <v>31</v>
      </c>
      <c r="I543" s="3" t="s">
        <v>31</v>
      </c>
      <c r="J543" s="3" t="s">
        <v>31</v>
      </c>
      <c r="K543" s="7" t="s">
        <v>41</v>
      </c>
      <c r="L543" s="9">
        <v>15</v>
      </c>
      <c r="M543" s="9">
        <v>74</v>
      </c>
      <c r="N543" s="9">
        <f t="shared" si="47"/>
        <v>59</v>
      </c>
      <c r="O543" s="9"/>
      <c r="P543" s="9"/>
      <c r="Q543" s="25"/>
      <c r="R543" s="11">
        <v>0</v>
      </c>
      <c r="S543" s="1">
        <v>1.17</v>
      </c>
      <c r="T543" s="1">
        <f t="shared" si="48"/>
        <v>1.17</v>
      </c>
      <c r="U543" s="12">
        <v>5</v>
      </c>
      <c r="V543" s="13">
        <v>5.8219650000000005</v>
      </c>
      <c r="W543" s="14">
        <f t="shared" si="49"/>
        <v>38179.573175249992</v>
      </c>
      <c r="X543" s="25"/>
      <c r="Y543" s="14">
        <f t="shared" si="51"/>
        <v>38179.573175249992</v>
      </c>
      <c r="Z543" s="3"/>
      <c r="AA543" s="3"/>
      <c r="AB543" s="5"/>
      <c r="AC543" s="1"/>
      <c r="AD543" s="28"/>
      <c r="AE543" s="28"/>
      <c r="AF543" s="3"/>
      <c r="AG543" s="7"/>
      <c r="AH543" s="7"/>
      <c r="AI543" s="3" t="s">
        <v>107</v>
      </c>
      <c r="AJ543" s="7" t="s">
        <v>61</v>
      </c>
      <c r="AK543" s="3"/>
      <c r="AL543" cm="1">
        <f t="array" ref="AL543">IF(getColor(V543) = 16777215, 0, 1)</f>
        <v>0</v>
      </c>
    </row>
    <row r="544" spans="1:38">
      <c r="A544" s="1">
        <v>543</v>
      </c>
      <c r="B544" s="3" t="s">
        <v>27</v>
      </c>
      <c r="C544" s="7" t="s">
        <v>296</v>
      </c>
      <c r="D544" s="7" t="s">
        <v>156</v>
      </c>
      <c r="E544" s="8">
        <v>55.72076666666667</v>
      </c>
      <c r="F544" s="8">
        <v>-131.69163333333333</v>
      </c>
      <c r="G544" s="9" t="s">
        <v>30</v>
      </c>
      <c r="H544" s="3" t="s">
        <v>31</v>
      </c>
      <c r="I544" s="3" t="s">
        <v>31</v>
      </c>
      <c r="J544" s="3" t="s">
        <v>31</v>
      </c>
      <c r="K544" s="7" t="s">
        <v>44</v>
      </c>
      <c r="L544" s="9">
        <v>74</v>
      </c>
      <c r="M544" s="9">
        <v>74</v>
      </c>
      <c r="N544" s="9">
        <f t="shared" si="47"/>
        <v>0</v>
      </c>
      <c r="O544" s="9"/>
      <c r="P544" s="9"/>
      <c r="Q544" s="25"/>
      <c r="R544" s="11">
        <v>0</v>
      </c>
      <c r="S544" s="1">
        <v>1.74</v>
      </c>
      <c r="T544" s="1">
        <f t="shared" si="48"/>
        <v>1.74</v>
      </c>
      <c r="U544" s="12">
        <v>18</v>
      </c>
      <c r="V544" s="13">
        <v>2.4716800000000001</v>
      </c>
      <c r="W544" s="14">
        <f t="shared" si="49"/>
        <v>0</v>
      </c>
      <c r="X544" s="25"/>
      <c r="Y544" s="14">
        <f t="shared" si="51"/>
        <v>0</v>
      </c>
      <c r="Z544" s="3"/>
      <c r="AA544" s="3"/>
      <c r="AB544" s="5"/>
      <c r="AC544" s="1"/>
      <c r="AD544" s="28"/>
      <c r="AE544" s="28"/>
      <c r="AF544" s="3"/>
      <c r="AG544" s="7"/>
      <c r="AH544" s="7"/>
      <c r="AI544" s="3" t="s">
        <v>107</v>
      </c>
      <c r="AJ544" s="7" t="s">
        <v>44</v>
      </c>
      <c r="AK544" s="3"/>
      <c r="AL544" cm="1">
        <f t="array" ref="AL544">IF(getColor(V544) = 16777215, 0, 1)</f>
        <v>0</v>
      </c>
    </row>
    <row r="545" spans="1:38">
      <c r="A545" s="1">
        <v>544</v>
      </c>
      <c r="B545" s="3" t="s">
        <v>27</v>
      </c>
      <c r="C545" s="7" t="s">
        <v>297</v>
      </c>
      <c r="D545" s="7" t="s">
        <v>206</v>
      </c>
      <c r="E545" s="8">
        <v>55.72076666666667</v>
      </c>
      <c r="F545" s="8">
        <v>-131.69163333333333</v>
      </c>
      <c r="G545" s="9" t="s">
        <v>30</v>
      </c>
      <c r="H545" s="3" t="s">
        <v>31</v>
      </c>
      <c r="I545" s="3" t="s">
        <v>31</v>
      </c>
      <c r="J545" s="3" t="s">
        <v>31</v>
      </c>
      <c r="K545" s="7" t="s">
        <v>49</v>
      </c>
      <c r="L545" s="9">
        <v>32</v>
      </c>
      <c r="M545" s="9">
        <v>25</v>
      </c>
      <c r="N545" s="9">
        <f t="shared" si="47"/>
        <v>7</v>
      </c>
      <c r="O545" s="29">
        <f>M551</f>
        <v>58</v>
      </c>
      <c r="P545" s="29">
        <f>L545</f>
        <v>32</v>
      </c>
      <c r="Q545" s="29">
        <f>P545+O545</f>
        <v>90</v>
      </c>
      <c r="R545" s="11">
        <v>0</v>
      </c>
      <c r="S545" s="1">
        <v>0.08</v>
      </c>
      <c r="T545" s="1">
        <f t="shared" si="48"/>
        <v>0.08</v>
      </c>
      <c r="U545" s="12">
        <v>0</v>
      </c>
      <c r="V545" s="31">
        <v>36.66627891666667</v>
      </c>
      <c r="W545" s="14">
        <f t="shared" si="49"/>
        <v>2053.311619333334</v>
      </c>
      <c r="X545" s="14">
        <f>SUM(W545:W551)</f>
        <v>48822.001266464911</v>
      </c>
      <c r="Y545" s="14">
        <f t="shared" si="51"/>
        <v>2053.311619333334</v>
      </c>
      <c r="Z545" s="15">
        <f>SUM(Y545:Y551)/10^6*10^4</f>
        <v>488.22001266464912</v>
      </c>
      <c r="AA545" s="16">
        <v>136.42606280525277</v>
      </c>
      <c r="AB545" s="5"/>
      <c r="AC545" s="1"/>
      <c r="AD545" s="28"/>
      <c r="AE545" s="28"/>
      <c r="AF545" s="3"/>
      <c r="AG545" s="7"/>
      <c r="AH545" s="7"/>
      <c r="AI545" s="3" t="s">
        <v>107</v>
      </c>
      <c r="AJ545" s="7" t="s">
        <v>60</v>
      </c>
      <c r="AK545" s="3"/>
      <c r="AL545" cm="1">
        <f t="array" ref="AL545">IF(getColor(V545) = 16777215, 0, 1)</f>
        <v>1</v>
      </c>
    </row>
    <row r="546" spans="1:38">
      <c r="A546" s="1">
        <v>545</v>
      </c>
      <c r="B546" s="3" t="s">
        <v>27</v>
      </c>
      <c r="C546" s="7" t="s">
        <v>297</v>
      </c>
      <c r="D546" s="7" t="s">
        <v>206</v>
      </c>
      <c r="E546" s="8">
        <v>55.72076666666667</v>
      </c>
      <c r="F546" s="8">
        <v>-131.69163333333333</v>
      </c>
      <c r="G546" s="9" t="s">
        <v>30</v>
      </c>
      <c r="H546" s="3" t="s">
        <v>31</v>
      </c>
      <c r="I546" s="3" t="s">
        <v>31</v>
      </c>
      <c r="J546" s="3" t="s">
        <v>31</v>
      </c>
      <c r="K546" s="7" t="s">
        <v>51</v>
      </c>
      <c r="L546" s="9">
        <v>25</v>
      </c>
      <c r="M546" s="9">
        <v>0</v>
      </c>
      <c r="N546" s="9">
        <f t="shared" si="47"/>
        <v>25</v>
      </c>
      <c r="O546" s="9"/>
      <c r="P546" s="9"/>
      <c r="Q546" s="25"/>
      <c r="R546" s="11">
        <v>0</v>
      </c>
      <c r="S546" s="1">
        <v>0.12</v>
      </c>
      <c r="T546" s="1">
        <f t="shared" si="48"/>
        <v>0.12</v>
      </c>
      <c r="U546" s="12">
        <v>0</v>
      </c>
      <c r="V546" s="31">
        <v>40.639330342105275</v>
      </c>
      <c r="W546" s="14">
        <f t="shared" si="49"/>
        <v>12191.799102631581</v>
      </c>
      <c r="X546" s="25"/>
      <c r="Y546" s="14">
        <f t="shared" si="51"/>
        <v>12191.799102631581</v>
      </c>
      <c r="Z546" s="3"/>
      <c r="AA546" s="3"/>
      <c r="AB546" s="5"/>
      <c r="AC546" s="5"/>
      <c r="AD546" s="32"/>
      <c r="AE546" s="28"/>
      <c r="AF546" s="3"/>
      <c r="AG546" s="7"/>
      <c r="AH546" s="7"/>
      <c r="AI546" s="3" t="s">
        <v>107</v>
      </c>
      <c r="AJ546" s="7" t="s">
        <v>67</v>
      </c>
      <c r="AK546" s="3"/>
      <c r="AL546" cm="1">
        <f t="array" ref="AL546">IF(getColor(V546) = 16777215, 0, 1)</f>
        <v>1</v>
      </c>
    </row>
    <row r="547" spans="1:38">
      <c r="A547" s="1">
        <v>546</v>
      </c>
      <c r="B547" s="3" t="s">
        <v>27</v>
      </c>
      <c r="C547" s="7" t="s">
        <v>297</v>
      </c>
      <c r="D547" s="7" t="s">
        <v>206</v>
      </c>
      <c r="E547" s="8">
        <v>55.72076666666667</v>
      </c>
      <c r="F547" s="8">
        <v>-131.69163333333333</v>
      </c>
      <c r="G547" s="9" t="s">
        <v>30</v>
      </c>
      <c r="H547" s="3" t="s">
        <v>31</v>
      </c>
      <c r="I547" s="3" t="s">
        <v>31</v>
      </c>
      <c r="J547" s="3" t="s">
        <v>31</v>
      </c>
      <c r="K547" s="7" t="s">
        <v>51</v>
      </c>
      <c r="L547" s="9">
        <v>0</v>
      </c>
      <c r="M547" s="9">
        <v>15</v>
      </c>
      <c r="N547" s="9">
        <f t="shared" si="47"/>
        <v>15</v>
      </c>
      <c r="O547" s="9"/>
      <c r="P547" s="9"/>
      <c r="Q547" s="25"/>
      <c r="R547" s="11">
        <v>0</v>
      </c>
      <c r="S547" s="1">
        <v>0.12</v>
      </c>
      <c r="T547" s="1">
        <f t="shared" si="48"/>
        <v>0.12</v>
      </c>
      <c r="U547" s="12">
        <v>0</v>
      </c>
      <c r="V547" s="13">
        <v>35.78143</v>
      </c>
      <c r="W547" s="14">
        <f t="shared" si="49"/>
        <v>6440.6573999999991</v>
      </c>
      <c r="X547" s="25"/>
      <c r="Y547" s="14">
        <f t="shared" si="51"/>
        <v>6440.6573999999991</v>
      </c>
      <c r="Z547" s="3"/>
      <c r="AA547" s="3"/>
      <c r="AB547" s="5"/>
      <c r="AC547" s="1"/>
      <c r="AD547" s="32"/>
      <c r="AE547" s="28"/>
      <c r="AF547" s="3"/>
      <c r="AG547" s="7"/>
      <c r="AH547" s="7"/>
      <c r="AI547" s="3" t="s">
        <v>107</v>
      </c>
      <c r="AJ547" s="7" t="s">
        <v>87</v>
      </c>
      <c r="AK547" s="3"/>
      <c r="AL547" cm="1">
        <f t="array" ref="AL547">IF(getColor(V547) = 16777215, 0, 1)</f>
        <v>0</v>
      </c>
    </row>
    <row r="548" spans="1:38">
      <c r="A548" s="1">
        <v>547</v>
      </c>
      <c r="B548" s="3" t="s">
        <v>27</v>
      </c>
      <c r="C548" s="7" t="s">
        <v>297</v>
      </c>
      <c r="D548" s="7" t="s">
        <v>206</v>
      </c>
      <c r="E548" s="8">
        <v>55.72076666666667</v>
      </c>
      <c r="F548" s="8">
        <v>-131.69163333333333</v>
      </c>
      <c r="G548" s="9" t="s">
        <v>30</v>
      </c>
      <c r="H548" s="3" t="s">
        <v>31</v>
      </c>
      <c r="I548" s="3" t="s">
        <v>31</v>
      </c>
      <c r="J548" s="3" t="s">
        <v>31</v>
      </c>
      <c r="K548" s="7" t="s">
        <v>47</v>
      </c>
      <c r="L548" s="9">
        <v>15</v>
      </c>
      <c r="M548" s="9">
        <v>18</v>
      </c>
      <c r="N548" s="9">
        <f t="shared" si="47"/>
        <v>3</v>
      </c>
      <c r="O548" s="9"/>
      <c r="P548" s="9"/>
      <c r="Q548" s="25"/>
      <c r="R548" s="11">
        <v>0</v>
      </c>
      <c r="S548" s="1">
        <v>0.93</v>
      </c>
      <c r="T548" s="1">
        <f t="shared" si="48"/>
        <v>0.93</v>
      </c>
      <c r="U548" s="12">
        <v>1</v>
      </c>
      <c r="V548" s="13">
        <v>3.0896000000000003</v>
      </c>
      <c r="W548" s="14">
        <f t="shared" si="49"/>
        <v>853.37841600000002</v>
      </c>
      <c r="X548" s="25"/>
      <c r="Y548" s="14">
        <f t="shared" si="51"/>
        <v>853.37841600000002</v>
      </c>
      <c r="Z548" s="3"/>
      <c r="AA548" s="3"/>
      <c r="AB548" s="5"/>
      <c r="AC548" s="1"/>
      <c r="AD548" s="28"/>
      <c r="AE548" s="28"/>
      <c r="AF548" s="3"/>
      <c r="AG548" s="7"/>
      <c r="AH548" s="7"/>
      <c r="AI548" s="3" t="s">
        <v>107</v>
      </c>
      <c r="AJ548" s="7" t="s">
        <v>47</v>
      </c>
      <c r="AK548" s="3"/>
      <c r="AL548" cm="1">
        <f t="array" ref="AL548">IF(getColor(V548) = 16777215, 0, 1)</f>
        <v>0</v>
      </c>
    </row>
    <row r="549" spans="1:38">
      <c r="A549" s="1">
        <v>548</v>
      </c>
      <c r="B549" s="3" t="s">
        <v>27</v>
      </c>
      <c r="C549" s="7" t="s">
        <v>297</v>
      </c>
      <c r="D549" s="7" t="s">
        <v>206</v>
      </c>
      <c r="E549" s="8">
        <v>55.72076666666667</v>
      </c>
      <c r="F549" s="8">
        <v>-131.69163333333333</v>
      </c>
      <c r="G549" s="9" t="s">
        <v>30</v>
      </c>
      <c r="H549" s="3" t="s">
        <v>31</v>
      </c>
      <c r="I549" s="3" t="s">
        <v>31</v>
      </c>
      <c r="J549" s="3" t="s">
        <v>31</v>
      </c>
      <c r="K549" s="7" t="s">
        <v>68</v>
      </c>
      <c r="L549" s="9">
        <v>18</v>
      </c>
      <c r="M549" s="9">
        <v>23</v>
      </c>
      <c r="N549" s="9">
        <f t="shared" si="47"/>
        <v>5</v>
      </c>
      <c r="O549" s="9"/>
      <c r="P549" s="9"/>
      <c r="Q549" s="25"/>
      <c r="R549" s="11">
        <v>0</v>
      </c>
      <c r="S549" s="1">
        <v>0.86</v>
      </c>
      <c r="T549" s="1">
        <f t="shared" si="48"/>
        <v>0.86</v>
      </c>
      <c r="U549" s="12">
        <v>3</v>
      </c>
      <c r="V549" s="13">
        <v>9.2398350000000011</v>
      </c>
      <c r="W549" s="14">
        <f t="shared" si="49"/>
        <v>3853.9351785000008</v>
      </c>
      <c r="X549" s="25"/>
      <c r="Y549" s="14">
        <f t="shared" si="51"/>
        <v>3853.9351785000008</v>
      </c>
      <c r="Z549" s="3"/>
      <c r="AA549" s="3"/>
      <c r="AB549" s="5"/>
      <c r="AC549" s="1"/>
      <c r="AD549" s="28"/>
      <c r="AE549" s="28"/>
      <c r="AF549" s="3"/>
      <c r="AG549" s="7"/>
      <c r="AH549" s="7"/>
      <c r="AI549" s="3" t="s">
        <v>107</v>
      </c>
      <c r="AJ549" s="7" t="s">
        <v>68</v>
      </c>
      <c r="AK549" s="3"/>
      <c r="AL549" cm="1">
        <f t="array" ref="AL549">IF(getColor(V549) = 16777215, 0, 1)</f>
        <v>0</v>
      </c>
    </row>
    <row r="550" spans="1:38">
      <c r="A550" s="1">
        <v>549</v>
      </c>
      <c r="B550" s="3" t="s">
        <v>27</v>
      </c>
      <c r="C550" s="7" t="s">
        <v>297</v>
      </c>
      <c r="D550" s="7" t="s">
        <v>206</v>
      </c>
      <c r="E550" s="8">
        <v>55.72076666666667</v>
      </c>
      <c r="F550" s="8">
        <v>-131.69163333333333</v>
      </c>
      <c r="G550" s="9" t="s">
        <v>30</v>
      </c>
      <c r="H550" s="3" t="s">
        <v>31</v>
      </c>
      <c r="I550" s="3" t="s">
        <v>31</v>
      </c>
      <c r="J550" s="3" t="s">
        <v>31</v>
      </c>
      <c r="K550" s="7" t="s">
        <v>41</v>
      </c>
      <c r="L550" s="9">
        <v>23</v>
      </c>
      <c r="M550" s="9">
        <v>41</v>
      </c>
      <c r="N550" s="9">
        <f t="shared" si="47"/>
        <v>18</v>
      </c>
      <c r="O550" s="9"/>
      <c r="P550" s="9"/>
      <c r="Q550" s="25"/>
      <c r="R550" s="11">
        <v>0</v>
      </c>
      <c r="S550" s="1">
        <v>1.17</v>
      </c>
      <c r="T550" s="1">
        <f t="shared" si="48"/>
        <v>1.17</v>
      </c>
      <c r="U550" s="12">
        <v>6</v>
      </c>
      <c r="V550" s="13">
        <v>5.3392150000000003</v>
      </c>
      <c r="W550" s="14">
        <f t="shared" si="49"/>
        <v>10569.7235826</v>
      </c>
      <c r="X550" s="25"/>
      <c r="Y550" s="14">
        <f t="shared" si="51"/>
        <v>10569.7235826</v>
      </c>
      <c r="Z550" s="3"/>
      <c r="AA550" s="3"/>
      <c r="AB550" s="5"/>
      <c r="AC550" s="1"/>
      <c r="AD550" s="28"/>
      <c r="AE550" s="28"/>
      <c r="AF550" s="3"/>
      <c r="AG550" s="7"/>
      <c r="AH550" s="7"/>
      <c r="AI550" s="3" t="s">
        <v>107</v>
      </c>
      <c r="AJ550" s="7" t="s">
        <v>61</v>
      </c>
      <c r="AK550" s="3"/>
      <c r="AL550" cm="1">
        <f t="array" ref="AL550">IF(getColor(V550) = 16777215, 0, 1)</f>
        <v>0</v>
      </c>
    </row>
    <row r="551" spans="1:38">
      <c r="A551" s="1">
        <v>550</v>
      </c>
      <c r="B551" s="3" t="s">
        <v>27</v>
      </c>
      <c r="C551" s="7" t="s">
        <v>297</v>
      </c>
      <c r="D551" s="7" t="s">
        <v>206</v>
      </c>
      <c r="E551" s="8">
        <v>55.72076666666667</v>
      </c>
      <c r="F551" s="8">
        <v>-131.69163333333333</v>
      </c>
      <c r="G551" s="9" t="s">
        <v>30</v>
      </c>
      <c r="H551" s="3" t="s">
        <v>31</v>
      </c>
      <c r="I551" s="3" t="s">
        <v>31</v>
      </c>
      <c r="J551" s="3" t="s">
        <v>31</v>
      </c>
      <c r="K551" s="7" t="s">
        <v>44</v>
      </c>
      <c r="L551" s="9">
        <v>41</v>
      </c>
      <c r="M551" s="9">
        <v>58</v>
      </c>
      <c r="N551" s="9">
        <f t="shared" si="47"/>
        <v>17</v>
      </c>
      <c r="O551" s="9"/>
      <c r="P551" s="9"/>
      <c r="Q551" s="25"/>
      <c r="R551" s="11">
        <v>0</v>
      </c>
      <c r="S551" s="1">
        <v>1.74</v>
      </c>
      <c r="T551" s="1">
        <f t="shared" si="48"/>
        <v>1.74</v>
      </c>
      <c r="U551" s="12">
        <v>6</v>
      </c>
      <c r="V551" s="13">
        <v>4.6247449999999999</v>
      </c>
      <c r="W551" s="14">
        <f t="shared" si="49"/>
        <v>12859.195967399999</v>
      </c>
      <c r="X551" s="25"/>
      <c r="Y551" s="14">
        <f t="shared" si="51"/>
        <v>12859.195967399999</v>
      </c>
      <c r="Z551" s="3"/>
      <c r="AA551" s="3"/>
      <c r="AB551" s="5"/>
      <c r="AC551" s="1"/>
      <c r="AD551" s="28"/>
      <c r="AE551" s="28"/>
      <c r="AF551" s="3"/>
      <c r="AG551" s="7"/>
      <c r="AH551" s="7"/>
      <c r="AI551" s="3" t="s">
        <v>107</v>
      </c>
      <c r="AJ551" s="7" t="s">
        <v>44</v>
      </c>
      <c r="AK551" s="3"/>
      <c r="AL551" cm="1">
        <f t="array" ref="AL551">IF(getColor(V551) = 16777215, 0, 1)</f>
        <v>0</v>
      </c>
    </row>
    <row r="552" spans="1:38">
      <c r="A552" s="1">
        <v>551</v>
      </c>
      <c r="B552" s="3" t="s">
        <v>27</v>
      </c>
      <c r="C552" s="7" t="s">
        <v>298</v>
      </c>
      <c r="D552" s="7" t="s">
        <v>166</v>
      </c>
      <c r="E552" s="8">
        <v>55.763888888888886</v>
      </c>
      <c r="F552" s="8">
        <v>-133.22493333333333</v>
      </c>
      <c r="G552" s="9" t="s">
        <v>30</v>
      </c>
      <c r="H552" s="3" t="s">
        <v>31</v>
      </c>
      <c r="I552" s="3" t="s">
        <v>31</v>
      </c>
      <c r="J552" s="3" t="s">
        <v>31</v>
      </c>
      <c r="K552" s="7" t="s">
        <v>49</v>
      </c>
      <c r="L552" s="9">
        <v>15</v>
      </c>
      <c r="M552" s="9">
        <v>11</v>
      </c>
      <c r="N552" s="9">
        <f t="shared" si="47"/>
        <v>4</v>
      </c>
      <c r="O552" s="29">
        <f>M555</f>
        <v>36</v>
      </c>
      <c r="P552" s="29">
        <f>L552</f>
        <v>15</v>
      </c>
      <c r="Q552" s="29">
        <f>P552+O552</f>
        <v>51</v>
      </c>
      <c r="R552" s="11">
        <v>0</v>
      </c>
      <c r="S552" s="1">
        <v>0.08</v>
      </c>
      <c r="T552" s="1">
        <f t="shared" si="48"/>
        <v>0.08</v>
      </c>
      <c r="U552" s="12">
        <v>0</v>
      </c>
      <c r="V552" s="13">
        <v>50.283239999999999</v>
      </c>
      <c r="W552" s="14">
        <f t="shared" si="49"/>
        <v>1609.0636799999997</v>
      </c>
      <c r="X552" s="14">
        <f>SUM(W552:W555)</f>
        <v>34332.653030100002</v>
      </c>
      <c r="Y552" s="14">
        <f t="shared" si="51"/>
        <v>1609.0636799999997</v>
      </c>
      <c r="Z552" s="15">
        <f>SUM(Y552:Y555)/10^6*10^4</f>
        <v>343.32653030100005</v>
      </c>
      <c r="AA552" s="16">
        <v>63.619003641268158</v>
      </c>
      <c r="AB552" s="5"/>
      <c r="AC552" s="1"/>
      <c r="AD552" s="28"/>
      <c r="AE552" s="28"/>
      <c r="AF552" s="3"/>
      <c r="AG552" s="7"/>
      <c r="AH552" s="7"/>
      <c r="AI552" s="3" t="s">
        <v>107</v>
      </c>
      <c r="AJ552" s="7" t="s">
        <v>60</v>
      </c>
      <c r="AK552" s="3"/>
      <c r="AL552" cm="1">
        <f t="array" ref="AL552">IF(getColor(V552) = 16777215, 0, 1)</f>
        <v>0</v>
      </c>
    </row>
    <row r="553" spans="1:38">
      <c r="A553" s="1">
        <v>552</v>
      </c>
      <c r="B553" s="3" t="s">
        <v>27</v>
      </c>
      <c r="C553" s="7" t="s">
        <v>298</v>
      </c>
      <c r="D553" s="7" t="s">
        <v>166</v>
      </c>
      <c r="E553" s="8">
        <v>55.763888888888886</v>
      </c>
      <c r="F553" s="8">
        <v>-133.22493333333333</v>
      </c>
      <c r="G553" s="9" t="s">
        <v>30</v>
      </c>
      <c r="H553" s="3" t="s">
        <v>31</v>
      </c>
      <c r="I553" s="3" t="s">
        <v>31</v>
      </c>
      <c r="J553" s="3" t="s">
        <v>31</v>
      </c>
      <c r="K553" s="7" t="s">
        <v>51</v>
      </c>
      <c r="L553" s="9">
        <v>11</v>
      </c>
      <c r="M553" s="9">
        <v>0</v>
      </c>
      <c r="N553" s="9">
        <f t="shared" si="47"/>
        <v>11</v>
      </c>
      <c r="O553" s="9"/>
      <c r="P553" s="9"/>
      <c r="Q553" s="25"/>
      <c r="R553" s="11">
        <v>0</v>
      </c>
      <c r="S553" s="1">
        <v>0.12</v>
      </c>
      <c r="T553" s="1">
        <f t="shared" si="48"/>
        <v>0.12</v>
      </c>
      <c r="U553" s="12">
        <v>0</v>
      </c>
      <c r="V553" s="13">
        <v>49.230845000000002</v>
      </c>
      <c r="W553" s="14">
        <f t="shared" si="49"/>
        <v>6498.4715399999995</v>
      </c>
      <c r="X553" s="25"/>
      <c r="Y553" s="14">
        <f t="shared" si="51"/>
        <v>6498.4715399999995</v>
      </c>
      <c r="Z553" s="3"/>
      <c r="AA553" s="3"/>
      <c r="AB553" s="5"/>
      <c r="AC553" s="5"/>
      <c r="AD553" s="28"/>
      <c r="AE553" s="28"/>
      <c r="AF553" s="3"/>
      <c r="AG553" s="7"/>
      <c r="AH553" s="7"/>
      <c r="AI553" s="3" t="s">
        <v>107</v>
      </c>
      <c r="AJ553" s="7" t="s">
        <v>67</v>
      </c>
      <c r="AK553" s="3"/>
      <c r="AL553" cm="1">
        <f t="array" ref="AL553">IF(getColor(V553) = 16777215, 0, 1)</f>
        <v>0</v>
      </c>
    </row>
    <row r="554" spans="1:38">
      <c r="A554" s="1">
        <v>553</v>
      </c>
      <c r="B554" s="3" t="s">
        <v>27</v>
      </c>
      <c r="C554" s="7" t="s">
        <v>298</v>
      </c>
      <c r="D554" s="7" t="s">
        <v>166</v>
      </c>
      <c r="E554" s="8">
        <v>55.763888888888886</v>
      </c>
      <c r="F554" s="8">
        <v>-133.22493333333333</v>
      </c>
      <c r="G554" s="9" t="s">
        <v>30</v>
      </c>
      <c r="H554" s="3" t="s">
        <v>31</v>
      </c>
      <c r="I554" s="3" t="s">
        <v>31</v>
      </c>
      <c r="J554" s="3" t="s">
        <v>31</v>
      </c>
      <c r="K554" s="7" t="s">
        <v>77</v>
      </c>
      <c r="L554" s="9">
        <v>0</v>
      </c>
      <c r="M554" s="9">
        <v>15</v>
      </c>
      <c r="N554" s="9">
        <f t="shared" si="47"/>
        <v>15</v>
      </c>
      <c r="O554" s="9"/>
      <c r="P554" s="9"/>
      <c r="Q554" s="25"/>
      <c r="R554" s="11">
        <v>0</v>
      </c>
      <c r="S554" s="1">
        <v>0.86</v>
      </c>
      <c r="T554" s="1">
        <f t="shared" si="48"/>
        <v>0.86</v>
      </c>
      <c r="U554" s="12">
        <v>25</v>
      </c>
      <c r="V554" s="13">
        <v>11.943235</v>
      </c>
      <c r="W554" s="14">
        <f t="shared" si="49"/>
        <v>11555.079862499999</v>
      </c>
      <c r="X554" s="25"/>
      <c r="Y554" s="14">
        <f t="shared" si="51"/>
        <v>11555.079862499999</v>
      </c>
      <c r="Z554" s="3"/>
      <c r="AA554" s="3"/>
      <c r="AB554" s="5"/>
      <c r="AC554" s="1"/>
      <c r="AD554" s="28"/>
      <c r="AE554" s="28"/>
      <c r="AF554" s="3"/>
      <c r="AG554" s="7"/>
      <c r="AH554" s="7"/>
      <c r="AI554" s="3" t="s">
        <v>107</v>
      </c>
      <c r="AJ554" s="7" t="s">
        <v>78</v>
      </c>
      <c r="AK554" s="3"/>
      <c r="AL554" cm="1">
        <f t="array" ref="AL554">IF(getColor(V554) = 16777215, 0, 1)</f>
        <v>0</v>
      </c>
    </row>
    <row r="555" spans="1:38">
      <c r="A555" s="1">
        <v>554</v>
      </c>
      <c r="B555" s="3" t="s">
        <v>27</v>
      </c>
      <c r="C555" s="7" t="s">
        <v>298</v>
      </c>
      <c r="D555" s="7" t="s">
        <v>166</v>
      </c>
      <c r="E555" s="8">
        <v>55.763888888888886</v>
      </c>
      <c r="F555" s="8">
        <v>-133.22493333333333</v>
      </c>
      <c r="G555" s="9" t="s">
        <v>30</v>
      </c>
      <c r="H555" s="3" t="s">
        <v>31</v>
      </c>
      <c r="I555" s="3" t="s">
        <v>31</v>
      </c>
      <c r="J555" s="3" t="s">
        <v>31</v>
      </c>
      <c r="K555" s="7" t="s">
        <v>299</v>
      </c>
      <c r="L555" s="9">
        <v>15</v>
      </c>
      <c r="M555" s="9">
        <v>36</v>
      </c>
      <c r="N555" s="9">
        <f t="shared" si="47"/>
        <v>21</v>
      </c>
      <c r="O555" s="9"/>
      <c r="P555" s="9"/>
      <c r="Q555" s="25"/>
      <c r="R555" s="11">
        <v>0</v>
      </c>
      <c r="S555" s="1">
        <v>1.71</v>
      </c>
      <c r="T555" s="1">
        <f t="shared" si="48"/>
        <v>1.71</v>
      </c>
      <c r="U555" s="12">
        <v>18</v>
      </c>
      <c r="V555" s="13">
        <v>4.9819800000000001</v>
      </c>
      <c r="W555" s="14">
        <f t="shared" si="49"/>
        <v>14670.037947600002</v>
      </c>
      <c r="X555" s="25"/>
      <c r="Y555" s="14">
        <f t="shared" si="51"/>
        <v>14670.037947600002</v>
      </c>
      <c r="Z555" s="3"/>
      <c r="AA555" s="3"/>
      <c r="AB555" s="5"/>
      <c r="AC555" s="1"/>
      <c r="AD555" s="28"/>
      <c r="AE555" s="28"/>
      <c r="AF555" s="3"/>
      <c r="AG555" s="7"/>
      <c r="AH555" s="7"/>
      <c r="AI555" s="3" t="s">
        <v>107</v>
      </c>
      <c r="AJ555" s="7" t="s">
        <v>299</v>
      </c>
      <c r="AK555" s="3"/>
      <c r="AL555" cm="1">
        <f t="array" ref="AL555">IF(getColor(V555) = 16777215, 0, 1)</f>
        <v>0</v>
      </c>
    </row>
    <row r="556" spans="1:38">
      <c r="A556" s="1">
        <v>555</v>
      </c>
      <c r="B556" s="3" t="s">
        <v>27</v>
      </c>
      <c r="C556" s="7" t="s">
        <v>300</v>
      </c>
      <c r="D556" s="7" t="s">
        <v>283</v>
      </c>
      <c r="E556" s="8">
        <v>55.762500000000003</v>
      </c>
      <c r="F556" s="8">
        <v>-133.47132222222223</v>
      </c>
      <c r="G556" s="9" t="s">
        <v>30</v>
      </c>
      <c r="H556" s="3" t="s">
        <v>31</v>
      </c>
      <c r="I556" s="3" t="s">
        <v>31</v>
      </c>
      <c r="J556" s="3" t="s">
        <v>31</v>
      </c>
      <c r="K556" s="7" t="s">
        <v>49</v>
      </c>
      <c r="L556" s="9">
        <v>17</v>
      </c>
      <c r="M556" s="9">
        <v>11</v>
      </c>
      <c r="N556" s="9">
        <f t="shared" si="47"/>
        <v>6</v>
      </c>
      <c r="O556" s="29">
        <f>M562</f>
        <v>85</v>
      </c>
      <c r="P556" s="29">
        <f>L556</f>
        <v>17</v>
      </c>
      <c r="Q556" s="29">
        <f>P556+O556</f>
        <v>102</v>
      </c>
      <c r="R556" s="11">
        <v>0</v>
      </c>
      <c r="S556" s="1">
        <v>0.08</v>
      </c>
      <c r="T556" s="1">
        <f t="shared" si="48"/>
        <v>0.08</v>
      </c>
      <c r="U556" s="12">
        <v>0</v>
      </c>
      <c r="V556" s="13">
        <v>52.948020000000007</v>
      </c>
      <c r="W556" s="14">
        <f t="shared" si="49"/>
        <v>2541.5049599999998</v>
      </c>
      <c r="X556" s="14">
        <f>SUM(W556:W562)</f>
        <v>46289.296990650008</v>
      </c>
      <c r="Y556" s="14">
        <f t="shared" si="51"/>
        <v>2541.5049599999998</v>
      </c>
      <c r="Z556" s="15">
        <f>SUM(Y556:Y562)/10^6*10^4</f>
        <v>462.89296990650007</v>
      </c>
      <c r="AA556" s="16">
        <v>71.296675709072701</v>
      </c>
      <c r="AB556" s="5"/>
      <c r="AC556" s="1"/>
      <c r="AD556" s="28"/>
      <c r="AE556" s="28"/>
      <c r="AF556" s="3"/>
      <c r="AG556" s="7"/>
      <c r="AH556" s="7"/>
      <c r="AI556" s="3" t="s">
        <v>75</v>
      </c>
      <c r="AJ556" s="7" t="s">
        <v>60</v>
      </c>
      <c r="AK556" s="3"/>
      <c r="AL556" cm="1">
        <f t="array" ref="AL556">IF(getColor(V556) = 16777215, 0, 1)</f>
        <v>0</v>
      </c>
    </row>
    <row r="557" spans="1:38">
      <c r="A557" s="1">
        <v>556</v>
      </c>
      <c r="B557" s="3" t="s">
        <v>27</v>
      </c>
      <c r="C557" s="7" t="s">
        <v>300</v>
      </c>
      <c r="D557" s="7" t="s">
        <v>283</v>
      </c>
      <c r="E557" s="8">
        <v>55.762500000000003</v>
      </c>
      <c r="F557" s="8">
        <v>-133.47132222222223</v>
      </c>
      <c r="G557" s="9" t="s">
        <v>30</v>
      </c>
      <c r="H557" s="3" t="s">
        <v>31</v>
      </c>
      <c r="I557" s="3" t="s">
        <v>31</v>
      </c>
      <c r="J557" s="3" t="s">
        <v>31</v>
      </c>
      <c r="K557" s="7" t="s">
        <v>52</v>
      </c>
      <c r="L557" s="9">
        <v>11</v>
      </c>
      <c r="M557" s="9">
        <v>0</v>
      </c>
      <c r="N557" s="9">
        <f t="shared" si="47"/>
        <v>11</v>
      </c>
      <c r="O557" s="9"/>
      <c r="P557" s="9"/>
      <c r="Q557" s="25"/>
      <c r="R557" s="11">
        <v>0</v>
      </c>
      <c r="S557" s="1">
        <v>0.15</v>
      </c>
      <c r="T557" s="1">
        <f t="shared" si="48"/>
        <v>0.15</v>
      </c>
      <c r="U557" s="12">
        <v>0</v>
      </c>
      <c r="V557" s="13">
        <v>51.750800000000005</v>
      </c>
      <c r="W557" s="14">
        <f t="shared" si="49"/>
        <v>8538.8820000000014</v>
      </c>
      <c r="X557" s="25"/>
      <c r="Y557" s="14">
        <f t="shared" si="51"/>
        <v>8538.8820000000014</v>
      </c>
      <c r="Z557" s="3"/>
      <c r="AA557" s="3"/>
      <c r="AB557" s="5"/>
      <c r="AC557" s="5"/>
      <c r="AD557" s="28"/>
      <c r="AE557" s="28"/>
      <c r="AF557" s="3"/>
      <c r="AG557" s="7"/>
      <c r="AH557" s="7"/>
      <c r="AI557" s="3" t="s">
        <v>75</v>
      </c>
      <c r="AJ557" s="7" t="s">
        <v>76</v>
      </c>
      <c r="AK557" s="3"/>
      <c r="AL557" cm="1">
        <f t="array" ref="AL557">IF(getColor(V557) = 16777215, 0, 1)</f>
        <v>0</v>
      </c>
    </row>
    <row r="558" spans="1:38">
      <c r="A558" s="1">
        <v>557</v>
      </c>
      <c r="B558" s="3" t="s">
        <v>27</v>
      </c>
      <c r="C558" s="7" t="s">
        <v>300</v>
      </c>
      <c r="D558" s="7" t="s">
        <v>283</v>
      </c>
      <c r="E558" s="8">
        <v>55.762500000000003</v>
      </c>
      <c r="F558" s="8">
        <v>-133.47132222222223</v>
      </c>
      <c r="G558" s="9" t="s">
        <v>30</v>
      </c>
      <c r="H558" s="3" t="s">
        <v>31</v>
      </c>
      <c r="I558" s="3" t="s">
        <v>31</v>
      </c>
      <c r="J558" s="3" t="s">
        <v>31</v>
      </c>
      <c r="K558" s="7" t="s">
        <v>101</v>
      </c>
      <c r="L558" s="9">
        <v>0</v>
      </c>
      <c r="M558" s="9">
        <v>4</v>
      </c>
      <c r="N558" s="9">
        <f t="shared" si="47"/>
        <v>4</v>
      </c>
      <c r="O558" s="9"/>
      <c r="P558" s="9"/>
      <c r="Q558" s="25"/>
      <c r="R558" s="11">
        <v>0</v>
      </c>
      <c r="S558" s="1">
        <v>1.19</v>
      </c>
      <c r="T558" s="1">
        <f t="shared" si="48"/>
        <v>1.19</v>
      </c>
      <c r="U558" s="12">
        <v>46</v>
      </c>
      <c r="V558" s="13">
        <v>22.99821</v>
      </c>
      <c r="W558" s="14">
        <f t="shared" si="49"/>
        <v>5911.4598983999995</v>
      </c>
      <c r="X558" s="25"/>
      <c r="Y558" s="14">
        <f t="shared" si="51"/>
        <v>5911.4598983999995</v>
      </c>
      <c r="Z558" s="3"/>
      <c r="AA558" s="3"/>
      <c r="AB558" s="5"/>
      <c r="AC558" s="1"/>
      <c r="AD558" s="28"/>
      <c r="AE558" s="28"/>
      <c r="AF558" s="3"/>
      <c r="AG558" s="7"/>
      <c r="AH558" s="7"/>
      <c r="AI558" s="3" t="s">
        <v>75</v>
      </c>
      <c r="AJ558" s="7" t="s">
        <v>102</v>
      </c>
      <c r="AK558" s="3"/>
      <c r="AL558" cm="1">
        <f t="array" ref="AL558">IF(getColor(V558) = 16777215, 0, 1)</f>
        <v>0</v>
      </c>
    </row>
    <row r="559" spans="1:38">
      <c r="A559" s="1">
        <v>558</v>
      </c>
      <c r="B559" s="3" t="s">
        <v>27</v>
      </c>
      <c r="C559" s="7" t="s">
        <v>300</v>
      </c>
      <c r="D559" s="7" t="s">
        <v>283</v>
      </c>
      <c r="E559" s="8">
        <v>55.762500000000003</v>
      </c>
      <c r="F559" s="8">
        <v>-133.47132222222223</v>
      </c>
      <c r="G559" s="9" t="s">
        <v>30</v>
      </c>
      <c r="H559" s="3" t="s">
        <v>31</v>
      </c>
      <c r="I559" s="3" t="s">
        <v>31</v>
      </c>
      <c r="J559" s="3" t="s">
        <v>31</v>
      </c>
      <c r="K559" s="7" t="s">
        <v>103</v>
      </c>
      <c r="L559" s="9">
        <v>4</v>
      </c>
      <c r="M559" s="9">
        <v>12</v>
      </c>
      <c r="N559" s="9">
        <f t="shared" si="47"/>
        <v>8</v>
      </c>
      <c r="O559" s="9"/>
      <c r="P559" s="9"/>
      <c r="Q559" s="25"/>
      <c r="R559" s="11">
        <v>0</v>
      </c>
      <c r="S559" s="1">
        <v>1.19</v>
      </c>
      <c r="T559" s="1">
        <f t="shared" si="48"/>
        <v>1.19</v>
      </c>
      <c r="U559" s="12">
        <v>50</v>
      </c>
      <c r="V559" s="13">
        <v>21.26031</v>
      </c>
      <c r="W559" s="14">
        <f t="shared" si="49"/>
        <v>10119.907560000001</v>
      </c>
      <c r="X559" s="25"/>
      <c r="Y559" s="14">
        <f t="shared" si="51"/>
        <v>10119.907560000001</v>
      </c>
      <c r="Z559" s="3"/>
      <c r="AA559" s="3"/>
      <c r="AB559" s="5"/>
      <c r="AC559" s="1"/>
      <c r="AD559" s="28"/>
      <c r="AE559" s="28"/>
      <c r="AF559" s="3"/>
      <c r="AG559" s="7"/>
      <c r="AH559" s="7"/>
      <c r="AI559" s="3" t="s">
        <v>75</v>
      </c>
      <c r="AJ559" s="7" t="s">
        <v>104</v>
      </c>
      <c r="AK559" s="3"/>
      <c r="AL559" cm="1">
        <f t="array" ref="AL559">IF(getColor(V559) = 16777215, 0, 1)</f>
        <v>0</v>
      </c>
    </row>
    <row r="560" spans="1:38">
      <c r="A560" s="1">
        <v>559</v>
      </c>
      <c r="B560" s="3" t="s">
        <v>27</v>
      </c>
      <c r="C560" s="7" t="s">
        <v>300</v>
      </c>
      <c r="D560" s="7" t="s">
        <v>283</v>
      </c>
      <c r="E560" s="8">
        <v>55.762500000000003</v>
      </c>
      <c r="F560" s="8">
        <v>-133.47132222222223</v>
      </c>
      <c r="G560" s="9" t="s">
        <v>30</v>
      </c>
      <c r="H560" s="3" t="s">
        <v>31</v>
      </c>
      <c r="I560" s="3" t="s">
        <v>31</v>
      </c>
      <c r="J560" s="3" t="s">
        <v>31</v>
      </c>
      <c r="K560" s="7" t="s">
        <v>41</v>
      </c>
      <c r="L560" s="9">
        <v>12</v>
      </c>
      <c r="M560" s="9">
        <v>19</v>
      </c>
      <c r="N560" s="9">
        <f t="shared" si="47"/>
        <v>7</v>
      </c>
      <c r="O560" s="9"/>
      <c r="P560" s="9"/>
      <c r="Q560" s="25"/>
      <c r="R560" s="11">
        <v>0</v>
      </c>
      <c r="S560" s="1">
        <v>1.46</v>
      </c>
      <c r="T560" s="1">
        <f t="shared" si="48"/>
        <v>1.46</v>
      </c>
      <c r="U560" s="12">
        <v>55</v>
      </c>
      <c r="V560" s="13">
        <v>15.892130000000002</v>
      </c>
      <c r="W560" s="14">
        <f t="shared" si="49"/>
        <v>7308.7905870000004</v>
      </c>
      <c r="X560" s="25"/>
      <c r="Y560" s="14">
        <f t="shared" si="51"/>
        <v>7308.7905870000004</v>
      </c>
      <c r="Z560" s="3"/>
      <c r="AA560" s="3"/>
      <c r="AB560" s="5"/>
      <c r="AC560" s="1"/>
      <c r="AD560" s="28"/>
      <c r="AE560" s="28"/>
      <c r="AF560" s="3"/>
      <c r="AG560" s="7"/>
      <c r="AH560" s="7"/>
      <c r="AI560" s="3" t="s">
        <v>75</v>
      </c>
      <c r="AJ560" s="7" t="s">
        <v>61</v>
      </c>
      <c r="AK560" s="3"/>
      <c r="AL560" cm="1">
        <f t="array" ref="AL560">IF(getColor(V560) = 16777215, 0, 1)</f>
        <v>0</v>
      </c>
    </row>
    <row r="561" spans="1:38">
      <c r="A561" s="1">
        <v>560</v>
      </c>
      <c r="B561" s="3" t="s">
        <v>27</v>
      </c>
      <c r="C561" s="7" t="s">
        <v>300</v>
      </c>
      <c r="D561" s="7" t="s">
        <v>283</v>
      </c>
      <c r="E561" s="8">
        <v>55.762500000000003</v>
      </c>
      <c r="F561" s="8">
        <v>-133.47132222222223</v>
      </c>
      <c r="G561" s="9" t="s">
        <v>30</v>
      </c>
      <c r="H561" s="3" t="s">
        <v>31</v>
      </c>
      <c r="I561" s="3" t="s">
        <v>31</v>
      </c>
      <c r="J561" s="3" t="s">
        <v>31</v>
      </c>
      <c r="K561" s="7" t="s">
        <v>80</v>
      </c>
      <c r="L561" s="9">
        <v>19</v>
      </c>
      <c r="M561" s="9">
        <v>34</v>
      </c>
      <c r="N561" s="9">
        <f t="shared" si="47"/>
        <v>15</v>
      </c>
      <c r="O561" s="9"/>
      <c r="P561" s="9"/>
      <c r="Q561" s="25"/>
      <c r="R561" s="11">
        <v>0</v>
      </c>
      <c r="S561" s="1">
        <v>1.91</v>
      </c>
      <c r="T561" s="1">
        <f t="shared" si="48"/>
        <v>1.91</v>
      </c>
      <c r="U561" s="12">
        <v>73</v>
      </c>
      <c r="V561" s="13">
        <v>8.7474300000000014</v>
      </c>
      <c r="W561" s="14">
        <f t="shared" si="49"/>
        <v>6766.5744765000018</v>
      </c>
      <c r="X561" s="25"/>
      <c r="Y561" s="14">
        <f t="shared" si="51"/>
        <v>6766.5744765000018</v>
      </c>
      <c r="Z561" s="3"/>
      <c r="AA561" s="3"/>
      <c r="AB561" s="5"/>
      <c r="AC561" s="1"/>
      <c r="AD561" s="28"/>
      <c r="AE561" s="28"/>
      <c r="AF561" s="3"/>
      <c r="AG561" s="7"/>
      <c r="AH561" s="7"/>
      <c r="AI561" s="3" t="s">
        <v>75</v>
      </c>
      <c r="AJ561" s="7" t="s">
        <v>80</v>
      </c>
      <c r="AK561" s="3"/>
      <c r="AL561" cm="1">
        <f t="array" ref="AL561">IF(getColor(V561) = 16777215, 0, 1)</f>
        <v>0</v>
      </c>
    </row>
    <row r="562" spans="1:38">
      <c r="A562" s="1">
        <v>561</v>
      </c>
      <c r="B562" s="3" t="s">
        <v>27</v>
      </c>
      <c r="C562" s="7" t="s">
        <v>300</v>
      </c>
      <c r="D562" s="7" t="s">
        <v>283</v>
      </c>
      <c r="E562" s="8">
        <v>55.762500000000003</v>
      </c>
      <c r="F562" s="8">
        <v>-133.47132222222223</v>
      </c>
      <c r="G562" s="9" t="s">
        <v>30</v>
      </c>
      <c r="H562" s="3" t="s">
        <v>31</v>
      </c>
      <c r="I562" s="3" t="s">
        <v>31</v>
      </c>
      <c r="J562" s="3" t="s">
        <v>31</v>
      </c>
      <c r="K562" s="7" t="s">
        <v>81</v>
      </c>
      <c r="L562" s="9">
        <v>34</v>
      </c>
      <c r="M562" s="9">
        <v>85</v>
      </c>
      <c r="N562" s="9">
        <f t="shared" si="47"/>
        <v>51</v>
      </c>
      <c r="O562" s="9"/>
      <c r="P562" s="9"/>
      <c r="Q562" s="25"/>
      <c r="R562" s="11">
        <v>0</v>
      </c>
      <c r="S562" s="1">
        <v>1.91</v>
      </c>
      <c r="T562" s="1">
        <f t="shared" si="48"/>
        <v>1.91</v>
      </c>
      <c r="U562" s="12">
        <v>69</v>
      </c>
      <c r="V562" s="13">
        <v>1.6896249999999999</v>
      </c>
      <c r="W562" s="14">
        <f t="shared" si="49"/>
        <v>5102.1775087499991</v>
      </c>
      <c r="X562" s="25"/>
      <c r="Y562" s="14">
        <f t="shared" si="51"/>
        <v>5102.1775087499991</v>
      </c>
      <c r="Z562" s="3"/>
      <c r="AA562" s="3"/>
      <c r="AB562" s="5"/>
      <c r="AC562" s="1"/>
      <c r="AD562" s="28"/>
      <c r="AE562" s="28"/>
      <c r="AF562" s="3"/>
      <c r="AG562" s="7"/>
      <c r="AH562" s="7"/>
      <c r="AI562" s="3" t="s">
        <v>75</v>
      </c>
      <c r="AJ562" s="7" t="s">
        <v>81</v>
      </c>
      <c r="AK562" s="3"/>
      <c r="AL562" cm="1">
        <f t="array" ref="AL562">IF(getColor(V562) = 16777215, 0, 1)</f>
        <v>0</v>
      </c>
    </row>
    <row r="563" spans="1:38">
      <c r="A563" s="1">
        <v>562</v>
      </c>
      <c r="B563" s="3" t="s">
        <v>27</v>
      </c>
      <c r="C563" s="7" t="s">
        <v>301</v>
      </c>
      <c r="D563" s="7" t="s">
        <v>302</v>
      </c>
      <c r="E563" s="8">
        <v>55.770766666666667</v>
      </c>
      <c r="F563" s="8">
        <v>-131.96249999999998</v>
      </c>
      <c r="G563" s="9" t="s">
        <v>30</v>
      </c>
      <c r="H563" s="3" t="s">
        <v>31</v>
      </c>
      <c r="I563" s="3" t="s">
        <v>31</v>
      </c>
      <c r="J563" s="3" t="s">
        <v>31</v>
      </c>
      <c r="K563" s="7" t="s">
        <v>49</v>
      </c>
      <c r="L563" s="9">
        <v>10</v>
      </c>
      <c r="M563" s="9">
        <v>7</v>
      </c>
      <c r="N563" s="9">
        <f t="shared" si="47"/>
        <v>3</v>
      </c>
      <c r="O563" s="29">
        <f>M571</f>
        <v>81</v>
      </c>
      <c r="P563" s="29">
        <f>L563</f>
        <v>10</v>
      </c>
      <c r="Q563" s="29">
        <f>P563+O563</f>
        <v>91</v>
      </c>
      <c r="R563" s="11">
        <v>0</v>
      </c>
      <c r="S563" s="1">
        <v>0.08</v>
      </c>
      <c r="T563" s="1">
        <f t="shared" si="48"/>
        <v>0.08</v>
      </c>
      <c r="U563" s="12"/>
      <c r="V563" s="31">
        <v>36.66627891666667</v>
      </c>
      <c r="W563" s="14">
        <f t="shared" si="49"/>
        <v>879.99069400000019</v>
      </c>
      <c r="X563" s="14">
        <f>SUM(W563:W571)</f>
        <v>46538.442086170835</v>
      </c>
      <c r="Y563" s="14">
        <f t="shared" si="51"/>
        <v>879.99069400000019</v>
      </c>
      <c r="Z563" s="15">
        <f>SUM(Y563:Y571)/10^6*10^4</f>
        <v>465.38442086170835</v>
      </c>
      <c r="AA563" s="16">
        <v>29.52711586784347</v>
      </c>
      <c r="AB563" s="5"/>
      <c r="AC563" s="1"/>
      <c r="AD563" s="28"/>
      <c r="AE563" s="28"/>
      <c r="AF563" s="3"/>
      <c r="AG563" s="7"/>
      <c r="AH563" s="7"/>
      <c r="AI563" s="3" t="s">
        <v>75</v>
      </c>
      <c r="AJ563" s="7" t="s">
        <v>60</v>
      </c>
      <c r="AK563" s="3"/>
      <c r="AL563" cm="1">
        <f t="array" ref="AL563">IF(getColor(V563) = 16777215, 0, 1)</f>
        <v>1</v>
      </c>
    </row>
    <row r="564" spans="1:38">
      <c r="A564" s="1">
        <v>563</v>
      </c>
      <c r="B564" s="3" t="s">
        <v>27</v>
      </c>
      <c r="C564" s="7" t="s">
        <v>301</v>
      </c>
      <c r="D564" s="7" t="s">
        <v>302</v>
      </c>
      <c r="E564" s="8">
        <v>55.770766666666667</v>
      </c>
      <c r="F564" s="8">
        <v>-131.96249999999998</v>
      </c>
      <c r="G564" s="9" t="s">
        <v>30</v>
      </c>
      <c r="H564" s="3" t="s">
        <v>31</v>
      </c>
      <c r="I564" s="3" t="s">
        <v>31</v>
      </c>
      <c r="J564" s="3" t="s">
        <v>31</v>
      </c>
      <c r="K564" s="7" t="s">
        <v>51</v>
      </c>
      <c r="L564" s="9">
        <v>7</v>
      </c>
      <c r="M564" s="9">
        <v>3</v>
      </c>
      <c r="N564" s="9">
        <f t="shared" si="47"/>
        <v>4</v>
      </c>
      <c r="O564" s="9"/>
      <c r="P564" s="9"/>
      <c r="Q564" s="25"/>
      <c r="R564" s="11">
        <v>0</v>
      </c>
      <c r="S564" s="1">
        <v>0.12</v>
      </c>
      <c r="T564" s="1">
        <f t="shared" si="48"/>
        <v>0.12</v>
      </c>
      <c r="U564" s="12"/>
      <c r="V564" s="31">
        <v>40.639330342105275</v>
      </c>
      <c r="W564" s="14">
        <f t="shared" si="49"/>
        <v>1950.6878564210531</v>
      </c>
      <c r="X564" s="25"/>
      <c r="Y564" s="14">
        <f t="shared" si="51"/>
        <v>1950.6878564210531</v>
      </c>
      <c r="Z564" s="3"/>
      <c r="AA564" s="3"/>
      <c r="AB564" s="5"/>
      <c r="AC564" s="5"/>
      <c r="AD564" s="32"/>
      <c r="AE564" s="32"/>
      <c r="AF564" s="3"/>
      <c r="AG564" s="7"/>
      <c r="AH564" s="7"/>
      <c r="AI564" s="3" t="s">
        <v>75</v>
      </c>
      <c r="AJ564" s="7" t="s">
        <v>67</v>
      </c>
      <c r="AK564" s="3"/>
      <c r="AL564" cm="1">
        <f t="array" ref="AL564">IF(getColor(V564) = 16777215, 0, 1)</f>
        <v>1</v>
      </c>
    </row>
    <row r="565" spans="1:38">
      <c r="A565" s="1">
        <v>564</v>
      </c>
      <c r="B565" s="3" t="s">
        <v>27</v>
      </c>
      <c r="C565" s="7" t="s">
        <v>301</v>
      </c>
      <c r="D565" s="7" t="s">
        <v>302</v>
      </c>
      <c r="E565" s="8">
        <v>55.770766666666667</v>
      </c>
      <c r="F565" s="8">
        <v>-131.96249999999998</v>
      </c>
      <c r="G565" s="9" t="s">
        <v>30</v>
      </c>
      <c r="H565" s="3" t="s">
        <v>31</v>
      </c>
      <c r="I565" s="3" t="s">
        <v>31</v>
      </c>
      <c r="J565" s="3" t="s">
        <v>31</v>
      </c>
      <c r="K565" s="7" t="s">
        <v>52</v>
      </c>
      <c r="L565" s="9">
        <v>3</v>
      </c>
      <c r="M565" s="9">
        <v>0</v>
      </c>
      <c r="N565" s="9">
        <f t="shared" si="47"/>
        <v>3</v>
      </c>
      <c r="O565" s="9"/>
      <c r="P565" s="9"/>
      <c r="Q565" s="25"/>
      <c r="R565" s="11">
        <v>0</v>
      </c>
      <c r="S565" s="1">
        <v>0.15</v>
      </c>
      <c r="T565" s="1">
        <f t="shared" si="48"/>
        <v>0.15</v>
      </c>
      <c r="U565" s="12"/>
      <c r="V565" s="31">
        <v>36.068238615384637</v>
      </c>
      <c r="W565" s="14">
        <f t="shared" si="49"/>
        <v>1623.0707376923085</v>
      </c>
      <c r="X565" s="25"/>
      <c r="Y565" s="14">
        <f t="shared" si="51"/>
        <v>1623.0707376923085</v>
      </c>
      <c r="Z565" s="3"/>
      <c r="AA565" s="3"/>
      <c r="AB565" s="5"/>
      <c r="AC565" s="1"/>
      <c r="AD565" s="32"/>
      <c r="AE565" s="32"/>
      <c r="AF565" s="3"/>
      <c r="AG565" s="7"/>
      <c r="AH565" s="7"/>
      <c r="AI565" s="3" t="s">
        <v>75</v>
      </c>
      <c r="AJ565" s="7" t="s">
        <v>76</v>
      </c>
      <c r="AK565" s="3"/>
      <c r="AL565" cm="1">
        <f t="array" ref="AL565">IF(getColor(V565) = 16777215, 0, 1)</f>
        <v>1</v>
      </c>
    </row>
    <row r="566" spans="1:38">
      <c r="A566" s="1">
        <v>565</v>
      </c>
      <c r="B566" s="3" t="s">
        <v>27</v>
      </c>
      <c r="C566" s="7" t="s">
        <v>301</v>
      </c>
      <c r="D566" s="7" t="s">
        <v>302</v>
      </c>
      <c r="E566" s="8">
        <v>55.770766666666667</v>
      </c>
      <c r="F566" s="8">
        <v>-131.96249999999998</v>
      </c>
      <c r="G566" s="9" t="s">
        <v>30</v>
      </c>
      <c r="H566" s="3" t="s">
        <v>31</v>
      </c>
      <c r="I566" s="3" t="s">
        <v>31</v>
      </c>
      <c r="J566" s="3" t="s">
        <v>31</v>
      </c>
      <c r="K566" s="7" t="s">
        <v>47</v>
      </c>
      <c r="L566" s="9">
        <v>0</v>
      </c>
      <c r="M566" s="9">
        <v>5</v>
      </c>
      <c r="N566" s="9">
        <f t="shared" si="47"/>
        <v>5</v>
      </c>
      <c r="O566" s="9"/>
      <c r="P566" s="9"/>
      <c r="Q566" s="25"/>
      <c r="R566" s="11">
        <v>0</v>
      </c>
      <c r="S566" s="1">
        <v>1.31</v>
      </c>
      <c r="T566" s="1">
        <f t="shared" si="48"/>
        <v>1.31</v>
      </c>
      <c r="U566" s="12">
        <v>1</v>
      </c>
      <c r="V566" s="13">
        <v>1.0234300000000001</v>
      </c>
      <c r="W566" s="14">
        <f t="shared" si="49"/>
        <v>663.64318350000008</v>
      </c>
      <c r="X566" s="25"/>
      <c r="Y566" s="14">
        <f t="shared" si="51"/>
        <v>663.64318350000008</v>
      </c>
      <c r="Z566" s="3"/>
      <c r="AA566" s="3"/>
      <c r="AB566" s="5"/>
      <c r="AC566" s="1"/>
      <c r="AD566" s="32"/>
      <c r="AE566" s="32"/>
      <c r="AF566" s="3"/>
      <c r="AG566" s="7"/>
      <c r="AH566" s="7"/>
      <c r="AI566" s="3" t="s">
        <v>75</v>
      </c>
      <c r="AJ566" s="7" t="s">
        <v>47</v>
      </c>
      <c r="AK566" s="3"/>
      <c r="AL566" cm="1">
        <f t="array" ref="AL566">IF(getColor(V566) = 16777215, 0, 1)</f>
        <v>0</v>
      </c>
    </row>
    <row r="567" spans="1:38">
      <c r="A567" s="1">
        <v>566</v>
      </c>
      <c r="B567" s="3" t="s">
        <v>27</v>
      </c>
      <c r="C567" s="7" t="s">
        <v>301</v>
      </c>
      <c r="D567" s="7" t="s">
        <v>302</v>
      </c>
      <c r="E567" s="8">
        <v>55.770766666666667</v>
      </c>
      <c r="F567" s="8">
        <v>-131.96249999999998</v>
      </c>
      <c r="G567" s="9" t="s">
        <v>30</v>
      </c>
      <c r="H567" s="3" t="s">
        <v>31</v>
      </c>
      <c r="I567" s="3" t="s">
        <v>31</v>
      </c>
      <c r="J567" s="3" t="s">
        <v>31</v>
      </c>
      <c r="K567" s="7" t="s">
        <v>68</v>
      </c>
      <c r="L567" s="9">
        <v>5</v>
      </c>
      <c r="M567" s="9">
        <v>10</v>
      </c>
      <c r="N567" s="9">
        <f t="shared" si="47"/>
        <v>5</v>
      </c>
      <c r="O567" s="9"/>
      <c r="P567" s="9"/>
      <c r="Q567" s="25"/>
      <c r="R567" s="11">
        <v>0</v>
      </c>
      <c r="S567" s="1">
        <v>1.19</v>
      </c>
      <c r="T567" s="1">
        <f t="shared" si="48"/>
        <v>1.19</v>
      </c>
      <c r="U567" s="12">
        <v>2</v>
      </c>
      <c r="V567" s="13">
        <v>5.5998999999999999</v>
      </c>
      <c r="W567" s="14">
        <f t="shared" si="49"/>
        <v>3265.3016899999998</v>
      </c>
      <c r="X567" s="25"/>
      <c r="Y567" s="14">
        <f t="shared" si="51"/>
        <v>3265.3016899999998</v>
      </c>
      <c r="Z567" s="3"/>
      <c r="AA567" s="3"/>
      <c r="AB567" s="5"/>
      <c r="AC567" s="1"/>
      <c r="AD567" s="28"/>
      <c r="AE567" s="28"/>
      <c r="AF567" s="3"/>
      <c r="AG567" s="7"/>
      <c r="AH567" s="7"/>
      <c r="AI567" s="3" t="s">
        <v>75</v>
      </c>
      <c r="AJ567" s="7" t="s">
        <v>68</v>
      </c>
      <c r="AK567" s="3"/>
      <c r="AL567" cm="1">
        <f t="array" ref="AL567">IF(getColor(V567) = 16777215, 0, 1)</f>
        <v>0</v>
      </c>
    </row>
    <row r="568" spans="1:38">
      <c r="A568" s="1">
        <v>567</v>
      </c>
      <c r="B568" s="3" t="s">
        <v>27</v>
      </c>
      <c r="C568" s="7" t="s">
        <v>301</v>
      </c>
      <c r="D568" s="7" t="s">
        <v>302</v>
      </c>
      <c r="E568" s="8">
        <v>55.770766666666667</v>
      </c>
      <c r="F568" s="8">
        <v>-131.96249999999998</v>
      </c>
      <c r="G568" s="9" t="s">
        <v>30</v>
      </c>
      <c r="H568" s="3" t="s">
        <v>31</v>
      </c>
      <c r="I568" s="3" t="s">
        <v>31</v>
      </c>
      <c r="J568" s="3" t="s">
        <v>31</v>
      </c>
      <c r="K568" s="7" t="s">
        <v>41</v>
      </c>
      <c r="L568" s="9">
        <v>10</v>
      </c>
      <c r="M568" s="9">
        <v>15</v>
      </c>
      <c r="N568" s="9">
        <f t="shared" si="47"/>
        <v>5</v>
      </c>
      <c r="O568" s="9"/>
      <c r="P568" s="9"/>
      <c r="Q568" s="25"/>
      <c r="R568" s="11">
        <v>0</v>
      </c>
      <c r="S568" s="1">
        <v>1.46</v>
      </c>
      <c r="T568" s="1">
        <f t="shared" si="48"/>
        <v>1.46</v>
      </c>
      <c r="U568" s="12">
        <v>2</v>
      </c>
      <c r="V568" s="13">
        <v>3.1185650000000003</v>
      </c>
      <c r="W568" s="14">
        <f t="shared" si="49"/>
        <v>2231.021401</v>
      </c>
      <c r="X568" s="25"/>
      <c r="Y568" s="14">
        <f t="shared" si="51"/>
        <v>2231.021401</v>
      </c>
      <c r="Z568" s="3"/>
      <c r="AA568" s="3"/>
      <c r="AB568" s="5"/>
      <c r="AC568" s="1"/>
      <c r="AD568" s="28"/>
      <c r="AE568" s="28"/>
      <c r="AF568" s="3"/>
      <c r="AG568" s="7"/>
      <c r="AH568" s="7"/>
      <c r="AI568" s="3" t="s">
        <v>75</v>
      </c>
      <c r="AJ568" s="7" t="s">
        <v>61</v>
      </c>
      <c r="AK568" s="3"/>
      <c r="AL568" cm="1">
        <f t="array" ref="AL568">IF(getColor(V568) = 16777215, 0, 1)</f>
        <v>0</v>
      </c>
    </row>
    <row r="569" spans="1:38">
      <c r="A569" s="1">
        <v>568</v>
      </c>
      <c r="B569" s="3" t="s">
        <v>27</v>
      </c>
      <c r="C569" s="7" t="s">
        <v>301</v>
      </c>
      <c r="D569" s="7" t="s">
        <v>302</v>
      </c>
      <c r="E569" s="8">
        <v>55.770766666666667</v>
      </c>
      <c r="F569" s="8">
        <v>-131.96249999999998</v>
      </c>
      <c r="G569" s="9" t="s">
        <v>30</v>
      </c>
      <c r="H569" s="3" t="s">
        <v>31</v>
      </c>
      <c r="I569" s="3" t="s">
        <v>31</v>
      </c>
      <c r="J569" s="3" t="s">
        <v>31</v>
      </c>
      <c r="K569" s="7" t="s">
        <v>71</v>
      </c>
      <c r="L569" s="9">
        <v>15</v>
      </c>
      <c r="M569" s="9">
        <v>33</v>
      </c>
      <c r="N569" s="9">
        <f t="shared" si="47"/>
        <v>18</v>
      </c>
      <c r="O569" s="9"/>
      <c r="P569" s="9"/>
      <c r="Q569" s="25"/>
      <c r="R569" s="11">
        <v>0</v>
      </c>
      <c r="S569" s="1">
        <v>1.46</v>
      </c>
      <c r="T569" s="1">
        <f t="shared" si="48"/>
        <v>1.46</v>
      </c>
      <c r="U569" s="12"/>
      <c r="V569" s="31">
        <v>4.8282825000000003</v>
      </c>
      <c r="W569" s="14">
        <f t="shared" si="49"/>
        <v>12688.726409999999</v>
      </c>
      <c r="X569" s="25"/>
      <c r="Y569" s="14">
        <f t="shared" si="51"/>
        <v>12688.726409999999</v>
      </c>
      <c r="Z569" s="3"/>
      <c r="AA569" s="3"/>
      <c r="AB569" s="5"/>
      <c r="AC569" s="1"/>
      <c r="AD569" s="28"/>
      <c r="AE569" s="28"/>
      <c r="AF569" s="3"/>
      <c r="AG569" s="7"/>
      <c r="AH569" s="7"/>
      <c r="AI569" s="3" t="s">
        <v>75</v>
      </c>
      <c r="AJ569" s="7" t="s">
        <v>72</v>
      </c>
      <c r="AK569" s="3"/>
      <c r="AL569" cm="1">
        <f t="array" ref="AL569">IF(getColor(V569) = 16777215, 0, 1)</f>
        <v>1</v>
      </c>
    </row>
    <row r="570" spans="1:38">
      <c r="A570" s="1">
        <v>569</v>
      </c>
      <c r="B570" s="3" t="s">
        <v>27</v>
      </c>
      <c r="C570" s="7" t="s">
        <v>301</v>
      </c>
      <c r="D570" s="7" t="s">
        <v>302</v>
      </c>
      <c r="E570" s="8">
        <v>55.770766666666667</v>
      </c>
      <c r="F570" s="8">
        <v>-131.96249999999998</v>
      </c>
      <c r="G570" s="9" t="s">
        <v>30</v>
      </c>
      <c r="H570" s="3" t="s">
        <v>31</v>
      </c>
      <c r="I570" s="3" t="s">
        <v>31</v>
      </c>
      <c r="J570" s="3" t="s">
        <v>31</v>
      </c>
      <c r="K570" s="7" t="s">
        <v>44</v>
      </c>
      <c r="L570" s="9">
        <v>33</v>
      </c>
      <c r="M570" s="9">
        <v>71</v>
      </c>
      <c r="N570" s="9">
        <f t="shared" si="47"/>
        <v>38</v>
      </c>
      <c r="O570" s="9"/>
      <c r="P570" s="9"/>
      <c r="Q570" s="25"/>
      <c r="R570" s="11">
        <v>0</v>
      </c>
      <c r="S570" s="1">
        <v>1.91</v>
      </c>
      <c r="T570" s="1">
        <f t="shared" si="48"/>
        <v>1.91</v>
      </c>
      <c r="U570" s="12"/>
      <c r="V570" s="31">
        <v>2.7438434655172417</v>
      </c>
      <c r="W570" s="14">
        <f t="shared" si="49"/>
        <v>19914.815872724139</v>
      </c>
      <c r="X570" s="25"/>
      <c r="Y570" s="14">
        <f t="shared" si="51"/>
        <v>19914.815872724139</v>
      </c>
      <c r="Z570" s="3"/>
      <c r="AA570" s="3"/>
      <c r="AB570" s="5"/>
      <c r="AC570" s="1"/>
      <c r="AD570" s="32"/>
      <c r="AE570" s="32"/>
      <c r="AF570" s="3"/>
      <c r="AG570" s="7"/>
      <c r="AH570" s="7"/>
      <c r="AI570" s="3" t="s">
        <v>75</v>
      </c>
      <c r="AJ570" s="7" t="s">
        <v>44</v>
      </c>
      <c r="AK570" s="3"/>
      <c r="AL570" cm="1">
        <f t="array" ref="AL570">IF(getColor(V570) = 16777215, 0, 1)</f>
        <v>1</v>
      </c>
    </row>
    <row r="571" spans="1:38">
      <c r="A571" s="1">
        <v>570</v>
      </c>
      <c r="B571" s="3" t="s">
        <v>27</v>
      </c>
      <c r="C571" s="7" t="s">
        <v>301</v>
      </c>
      <c r="D571" s="7" t="s">
        <v>302</v>
      </c>
      <c r="E571" s="8">
        <v>55.770766666666667</v>
      </c>
      <c r="F571" s="8">
        <v>-131.96249999999998</v>
      </c>
      <c r="G571" s="9" t="s">
        <v>30</v>
      </c>
      <c r="H571" s="3" t="s">
        <v>31</v>
      </c>
      <c r="I571" s="3" t="s">
        <v>31</v>
      </c>
      <c r="J571" s="3" t="s">
        <v>31</v>
      </c>
      <c r="K571" s="7" t="s">
        <v>38</v>
      </c>
      <c r="L571" s="9">
        <v>71</v>
      </c>
      <c r="M571" s="9">
        <v>81</v>
      </c>
      <c r="N571" s="9">
        <f t="shared" si="47"/>
        <v>10</v>
      </c>
      <c r="O571" s="9"/>
      <c r="P571" s="9"/>
      <c r="Q571" s="25"/>
      <c r="R571" s="11">
        <v>0</v>
      </c>
      <c r="S571" s="1">
        <v>1.91</v>
      </c>
      <c r="T571" s="1">
        <f t="shared" si="48"/>
        <v>1.91</v>
      </c>
      <c r="U571" s="12"/>
      <c r="V571" s="31">
        <v>1.7388399166666668</v>
      </c>
      <c r="W571" s="14">
        <f t="shared" si="49"/>
        <v>3321.1842408333332</v>
      </c>
      <c r="X571" s="25"/>
      <c r="Y571" s="14">
        <f t="shared" si="51"/>
        <v>3321.1842408333332</v>
      </c>
      <c r="Z571" s="3"/>
      <c r="AA571" s="3"/>
      <c r="AB571" s="5"/>
      <c r="AC571" s="1"/>
      <c r="AD571" s="32"/>
      <c r="AE571" s="32"/>
      <c r="AF571" s="3"/>
      <c r="AG571" s="7"/>
      <c r="AH571" s="7"/>
      <c r="AI571" s="3" t="s">
        <v>75</v>
      </c>
      <c r="AJ571" s="7" t="s">
        <v>38</v>
      </c>
      <c r="AK571" s="3"/>
      <c r="AL571" cm="1">
        <f t="array" ref="AL571">IF(getColor(V571) = 16777215, 0, 1)</f>
        <v>1</v>
      </c>
    </row>
    <row r="572" spans="1:38">
      <c r="A572" s="1">
        <v>571</v>
      </c>
      <c r="B572" s="3" t="s">
        <v>27</v>
      </c>
      <c r="C572" s="7" t="s">
        <v>303</v>
      </c>
      <c r="D572" s="7" t="s">
        <v>156</v>
      </c>
      <c r="E572" s="8">
        <v>55.769377777777777</v>
      </c>
      <c r="F572" s="8">
        <v>-132.4958</v>
      </c>
      <c r="G572" s="9" t="s">
        <v>30</v>
      </c>
      <c r="H572" s="3" t="s">
        <v>31</v>
      </c>
      <c r="I572" s="3" t="s">
        <v>31</v>
      </c>
      <c r="J572" s="3" t="s">
        <v>31</v>
      </c>
      <c r="K572" s="7" t="s">
        <v>49</v>
      </c>
      <c r="L572" s="9">
        <v>20</v>
      </c>
      <c r="M572" s="9">
        <v>10</v>
      </c>
      <c r="N572" s="9">
        <f t="shared" si="47"/>
        <v>10</v>
      </c>
      <c r="O572" s="29">
        <f>M578</f>
        <v>63</v>
      </c>
      <c r="P572" s="29">
        <f>L572</f>
        <v>20</v>
      </c>
      <c r="Q572" s="29">
        <f>P572+O572</f>
        <v>83</v>
      </c>
      <c r="R572" s="11">
        <v>0</v>
      </c>
      <c r="S572" s="1">
        <v>0.08</v>
      </c>
      <c r="T572" s="1">
        <f t="shared" si="48"/>
        <v>0.08</v>
      </c>
      <c r="U572" s="12">
        <v>0</v>
      </c>
      <c r="V572" s="31">
        <v>36.66627891666667</v>
      </c>
      <c r="W572" s="14">
        <f t="shared" si="49"/>
        <v>2933.3023133333336</v>
      </c>
      <c r="X572" s="14">
        <f>SUM(W572:W578)</f>
        <v>22540.230924035965</v>
      </c>
      <c r="Y572" s="14">
        <f t="shared" si="51"/>
        <v>2933.3023133333336</v>
      </c>
      <c r="Z572" s="15">
        <f>SUM(Y572:Y578)/10^6*10^4</f>
        <v>225.40230924035964</v>
      </c>
      <c r="AA572" s="16">
        <v>61.916718487890229</v>
      </c>
      <c r="AB572" s="5"/>
      <c r="AC572" s="1"/>
      <c r="AD572" s="32"/>
      <c r="AE572" s="32"/>
      <c r="AF572" s="3"/>
      <c r="AG572" s="7"/>
      <c r="AH572" s="7"/>
      <c r="AI572" s="3" t="s">
        <v>107</v>
      </c>
      <c r="AJ572" s="7" t="s">
        <v>60</v>
      </c>
      <c r="AK572" s="3"/>
      <c r="AL572" cm="1">
        <f t="array" ref="AL572">IF(getColor(V572) = 16777215, 0, 1)</f>
        <v>1</v>
      </c>
    </row>
    <row r="573" spans="1:38">
      <c r="A573" s="1">
        <v>572</v>
      </c>
      <c r="B573" s="3" t="s">
        <v>27</v>
      </c>
      <c r="C573" s="7" t="s">
        <v>303</v>
      </c>
      <c r="D573" s="7" t="s">
        <v>156</v>
      </c>
      <c r="E573" s="8">
        <v>55.769377777777777</v>
      </c>
      <c r="F573" s="8">
        <v>-132.4958</v>
      </c>
      <c r="G573" s="9" t="s">
        <v>30</v>
      </c>
      <c r="H573" s="3" t="s">
        <v>31</v>
      </c>
      <c r="I573" s="3" t="s">
        <v>31</v>
      </c>
      <c r="J573" s="3" t="s">
        <v>31</v>
      </c>
      <c r="K573" s="7" t="s">
        <v>51</v>
      </c>
      <c r="L573" s="9">
        <v>10</v>
      </c>
      <c r="M573" s="9">
        <v>0</v>
      </c>
      <c r="N573" s="9">
        <f t="shared" si="47"/>
        <v>10</v>
      </c>
      <c r="O573" s="9"/>
      <c r="P573" s="9"/>
      <c r="Q573" s="25"/>
      <c r="R573" s="11">
        <v>0</v>
      </c>
      <c r="S573" s="1">
        <v>0.12</v>
      </c>
      <c r="T573" s="1">
        <f t="shared" si="48"/>
        <v>0.12</v>
      </c>
      <c r="U573" s="12">
        <v>0</v>
      </c>
      <c r="V573" s="31">
        <v>40.639330342105275</v>
      </c>
      <c r="W573" s="14">
        <f t="shared" si="49"/>
        <v>4876.7196410526321</v>
      </c>
      <c r="X573" s="25"/>
      <c r="Y573" s="14">
        <f t="shared" si="51"/>
        <v>4876.7196410526321</v>
      </c>
      <c r="Z573" s="3"/>
      <c r="AA573" s="3"/>
      <c r="AB573" s="5"/>
      <c r="AC573" s="5"/>
      <c r="AD573" s="32"/>
      <c r="AE573" s="28"/>
      <c r="AF573" s="3"/>
      <c r="AG573" s="7"/>
      <c r="AH573" s="7"/>
      <c r="AI573" s="3" t="s">
        <v>107</v>
      </c>
      <c r="AJ573" s="7" t="s">
        <v>67</v>
      </c>
      <c r="AK573" s="3"/>
      <c r="AL573" cm="1">
        <f t="array" ref="AL573">IF(getColor(V573) = 16777215, 0, 1)</f>
        <v>1</v>
      </c>
    </row>
    <row r="574" spans="1:38">
      <c r="A574" s="1">
        <v>573</v>
      </c>
      <c r="B574" s="3" t="s">
        <v>27</v>
      </c>
      <c r="C574" s="7" t="s">
        <v>303</v>
      </c>
      <c r="D574" s="7" t="s">
        <v>156</v>
      </c>
      <c r="E574" s="8">
        <v>55.769377777777777</v>
      </c>
      <c r="F574" s="8">
        <v>-132.4958</v>
      </c>
      <c r="G574" s="9" t="s">
        <v>30</v>
      </c>
      <c r="H574" s="3" t="s">
        <v>31</v>
      </c>
      <c r="I574" s="3" t="s">
        <v>31</v>
      </c>
      <c r="J574" s="3" t="s">
        <v>31</v>
      </c>
      <c r="K574" s="7" t="s">
        <v>47</v>
      </c>
      <c r="L574" s="9">
        <v>0</v>
      </c>
      <c r="M574" s="9">
        <v>3</v>
      </c>
      <c r="N574" s="9">
        <f t="shared" si="47"/>
        <v>3</v>
      </c>
      <c r="O574" s="9"/>
      <c r="P574" s="9"/>
      <c r="Q574" s="25"/>
      <c r="R574" s="11">
        <v>0</v>
      </c>
      <c r="S574" s="1">
        <v>0.93</v>
      </c>
      <c r="T574" s="1">
        <f t="shared" si="48"/>
        <v>0.93</v>
      </c>
      <c r="U574" s="12">
        <v>3</v>
      </c>
      <c r="V574" s="13">
        <v>2.5875400000000002</v>
      </c>
      <c r="W574" s="14">
        <f t="shared" si="49"/>
        <v>700.26595020000002</v>
      </c>
      <c r="X574" s="25"/>
      <c r="Y574" s="14">
        <f t="shared" si="51"/>
        <v>700.26595020000002</v>
      </c>
      <c r="Z574" s="3"/>
      <c r="AA574" s="3"/>
      <c r="AB574" s="5"/>
      <c r="AC574" s="1"/>
      <c r="AD574" s="32"/>
      <c r="AE574" s="28"/>
      <c r="AF574" s="3"/>
      <c r="AG574" s="7"/>
      <c r="AH574" s="7"/>
      <c r="AI574" s="3" t="s">
        <v>107</v>
      </c>
      <c r="AJ574" s="7" t="s">
        <v>47</v>
      </c>
      <c r="AK574" s="3"/>
      <c r="AL574" cm="1">
        <f t="array" ref="AL574">IF(getColor(V574) = 16777215, 0, 1)</f>
        <v>0</v>
      </c>
    </row>
    <row r="575" spans="1:38">
      <c r="A575" s="1">
        <v>574</v>
      </c>
      <c r="B575" s="3" t="s">
        <v>27</v>
      </c>
      <c r="C575" s="7" t="s">
        <v>303</v>
      </c>
      <c r="D575" s="7" t="s">
        <v>156</v>
      </c>
      <c r="E575" s="8">
        <v>55.769377777777777</v>
      </c>
      <c r="F575" s="8">
        <v>-132.4958</v>
      </c>
      <c r="G575" s="9" t="s">
        <v>30</v>
      </c>
      <c r="H575" s="3" t="s">
        <v>31</v>
      </c>
      <c r="I575" s="3" t="s">
        <v>31</v>
      </c>
      <c r="J575" s="3" t="s">
        <v>31</v>
      </c>
      <c r="K575" s="7" t="s">
        <v>68</v>
      </c>
      <c r="L575" s="9">
        <v>3</v>
      </c>
      <c r="M575" s="9">
        <v>8</v>
      </c>
      <c r="N575" s="9">
        <f t="shared" si="47"/>
        <v>5</v>
      </c>
      <c r="O575" s="9"/>
      <c r="P575" s="9"/>
      <c r="Q575" s="25"/>
      <c r="R575" s="11">
        <v>0</v>
      </c>
      <c r="S575" s="1">
        <v>0.86</v>
      </c>
      <c r="T575" s="1">
        <f t="shared" si="48"/>
        <v>0.86</v>
      </c>
      <c r="U575" s="12">
        <v>13</v>
      </c>
      <c r="V575" s="13">
        <v>4.7599149999999995</v>
      </c>
      <c r="W575" s="14">
        <f t="shared" si="49"/>
        <v>1780.6842015</v>
      </c>
      <c r="X575" s="25"/>
      <c r="Y575" s="14">
        <f t="shared" si="51"/>
        <v>1780.6842015</v>
      </c>
      <c r="Z575" s="3"/>
      <c r="AA575" s="3"/>
      <c r="AB575" s="5"/>
      <c r="AC575" s="1"/>
      <c r="AD575" s="28"/>
      <c r="AE575" s="28"/>
      <c r="AF575" s="3"/>
      <c r="AG575" s="7"/>
      <c r="AH575" s="7"/>
      <c r="AI575" s="3" t="s">
        <v>107</v>
      </c>
      <c r="AJ575" s="7" t="s">
        <v>68</v>
      </c>
      <c r="AK575" s="3"/>
      <c r="AL575" cm="1">
        <f t="array" ref="AL575">IF(getColor(V575) = 16777215, 0, 1)</f>
        <v>0</v>
      </c>
    </row>
    <row r="576" spans="1:38">
      <c r="A576" s="1">
        <v>575</v>
      </c>
      <c r="B576" s="3" t="s">
        <v>27</v>
      </c>
      <c r="C576" s="7" t="s">
        <v>303</v>
      </c>
      <c r="D576" s="7" t="s">
        <v>156</v>
      </c>
      <c r="E576" s="8">
        <v>55.769377777777777</v>
      </c>
      <c r="F576" s="8">
        <v>-132.4958</v>
      </c>
      <c r="G576" s="9" t="s">
        <v>30</v>
      </c>
      <c r="H576" s="3" t="s">
        <v>31</v>
      </c>
      <c r="I576" s="3" t="s">
        <v>31</v>
      </c>
      <c r="J576" s="3" t="s">
        <v>31</v>
      </c>
      <c r="K576" s="7" t="s">
        <v>41</v>
      </c>
      <c r="L576" s="9">
        <v>8</v>
      </c>
      <c r="M576" s="9">
        <v>15</v>
      </c>
      <c r="N576" s="9">
        <f t="shared" si="47"/>
        <v>7</v>
      </c>
      <c r="O576" s="9"/>
      <c r="P576" s="9"/>
      <c r="Q576" s="25"/>
      <c r="R576" s="11">
        <v>0</v>
      </c>
      <c r="S576" s="1">
        <v>1.17</v>
      </c>
      <c r="T576" s="1">
        <f t="shared" si="48"/>
        <v>1.17</v>
      </c>
      <c r="U576" s="12">
        <v>17</v>
      </c>
      <c r="V576" s="13">
        <v>2.5971950000000001</v>
      </c>
      <c r="W576" s="14">
        <f t="shared" si="49"/>
        <v>1765.4952451500001</v>
      </c>
      <c r="X576" s="25"/>
      <c r="Y576" s="14">
        <f t="shared" si="51"/>
        <v>1765.4952451500001</v>
      </c>
      <c r="Z576" s="3"/>
      <c r="AA576" s="3"/>
      <c r="AB576" s="5"/>
      <c r="AC576" s="1"/>
      <c r="AD576" s="28"/>
      <c r="AE576" s="28"/>
      <c r="AF576" s="3"/>
      <c r="AG576" s="7"/>
      <c r="AH576" s="7"/>
      <c r="AI576" s="3" t="s">
        <v>107</v>
      </c>
      <c r="AJ576" s="7" t="s">
        <v>61</v>
      </c>
      <c r="AK576" s="3"/>
      <c r="AL576" cm="1">
        <f t="array" ref="AL576">IF(getColor(V576) = 16777215, 0, 1)</f>
        <v>0</v>
      </c>
    </row>
    <row r="577" spans="1:38">
      <c r="A577" s="1">
        <v>576</v>
      </c>
      <c r="B577" s="3" t="s">
        <v>27</v>
      </c>
      <c r="C577" s="7" t="s">
        <v>303</v>
      </c>
      <c r="D577" s="7" t="s">
        <v>156</v>
      </c>
      <c r="E577" s="8">
        <v>55.769377777777777</v>
      </c>
      <c r="F577" s="8">
        <v>-132.4958</v>
      </c>
      <c r="G577" s="9" t="s">
        <v>30</v>
      </c>
      <c r="H577" s="3" t="s">
        <v>31</v>
      </c>
      <c r="I577" s="3" t="s">
        <v>31</v>
      </c>
      <c r="J577" s="3" t="s">
        <v>31</v>
      </c>
      <c r="K577" s="7" t="s">
        <v>249</v>
      </c>
      <c r="L577" s="9">
        <v>15</v>
      </c>
      <c r="M577" s="9">
        <v>35</v>
      </c>
      <c r="N577" s="9">
        <f t="shared" si="47"/>
        <v>20</v>
      </c>
      <c r="O577" s="9"/>
      <c r="P577" s="9"/>
      <c r="Q577" s="25"/>
      <c r="R577" s="11">
        <v>0</v>
      </c>
      <c r="S577" s="1">
        <v>1.71</v>
      </c>
      <c r="T577" s="1">
        <f t="shared" si="48"/>
        <v>1.71</v>
      </c>
      <c r="U577" s="12">
        <v>16</v>
      </c>
      <c r="V577" s="13">
        <v>1.31308</v>
      </c>
      <c r="W577" s="14">
        <f t="shared" si="49"/>
        <v>3772.2162239999993</v>
      </c>
      <c r="X577" s="25"/>
      <c r="Y577" s="14">
        <f t="shared" si="51"/>
        <v>3772.2162239999993</v>
      </c>
      <c r="Z577" s="3"/>
      <c r="AA577" s="3"/>
      <c r="AB577" s="5"/>
      <c r="AC577" s="1"/>
      <c r="AD577" s="28"/>
      <c r="AE577" s="28"/>
      <c r="AF577" s="3"/>
      <c r="AG577" s="7"/>
      <c r="AH577" s="7"/>
      <c r="AI577" s="3" t="s">
        <v>107</v>
      </c>
      <c r="AJ577" s="7" t="s">
        <v>249</v>
      </c>
      <c r="AK577" s="3"/>
      <c r="AL577" cm="1">
        <f t="array" ref="AL577">IF(getColor(V577) = 16777215, 0, 1)</f>
        <v>0</v>
      </c>
    </row>
    <row r="578" spans="1:38">
      <c r="A578" s="1">
        <v>577</v>
      </c>
      <c r="B578" s="3" t="s">
        <v>27</v>
      </c>
      <c r="C578" s="7" t="s">
        <v>303</v>
      </c>
      <c r="D578" s="7" t="s">
        <v>156</v>
      </c>
      <c r="E578" s="8">
        <v>55.769377777777777</v>
      </c>
      <c r="F578" s="8">
        <v>-132.4958</v>
      </c>
      <c r="G578" s="9" t="s">
        <v>30</v>
      </c>
      <c r="H578" s="3" t="s">
        <v>31</v>
      </c>
      <c r="I578" s="3" t="s">
        <v>31</v>
      </c>
      <c r="J578" s="3" t="s">
        <v>31</v>
      </c>
      <c r="K578" s="7" t="s">
        <v>44</v>
      </c>
      <c r="L578" s="9">
        <v>35</v>
      </c>
      <c r="M578" s="9">
        <v>63</v>
      </c>
      <c r="N578" s="9">
        <f t="shared" ref="N578:N641" si="52">ABS(M578-L578)</f>
        <v>28</v>
      </c>
      <c r="O578" s="9"/>
      <c r="P578" s="9"/>
      <c r="Q578" s="25"/>
      <c r="R578" s="11">
        <v>0</v>
      </c>
      <c r="S578" s="1">
        <v>1.74</v>
      </c>
      <c r="T578" s="1">
        <f t="shared" ref="T578:T641" si="53">IF(R578=0,S578,R578)</f>
        <v>1.74</v>
      </c>
      <c r="U578" s="12">
        <v>18</v>
      </c>
      <c r="V578" s="13">
        <v>1.67997</v>
      </c>
      <c r="W578" s="14">
        <f t="shared" si="49"/>
        <v>6711.5473487999998</v>
      </c>
      <c r="X578" s="25"/>
      <c r="Y578" s="14">
        <f t="shared" si="51"/>
        <v>6711.5473487999998</v>
      </c>
      <c r="Z578" s="3"/>
      <c r="AA578" s="3"/>
      <c r="AB578" s="5"/>
      <c r="AC578" s="1"/>
      <c r="AD578" s="28"/>
      <c r="AE578" s="28"/>
      <c r="AF578" s="3"/>
      <c r="AG578" s="7"/>
      <c r="AH578" s="7"/>
      <c r="AI578" s="3" t="s">
        <v>107</v>
      </c>
      <c r="AJ578" s="7" t="s">
        <v>44</v>
      </c>
      <c r="AK578" s="3"/>
      <c r="AL578" cm="1">
        <f t="array" ref="AL578">IF(getColor(V578) = 16777215, 0, 1)</f>
        <v>0</v>
      </c>
    </row>
    <row r="579" spans="1:38">
      <c r="A579" s="1">
        <v>578</v>
      </c>
      <c r="B579" s="3" t="s">
        <v>27</v>
      </c>
      <c r="C579" s="7" t="s">
        <v>304</v>
      </c>
      <c r="D579" s="7" t="s">
        <v>168</v>
      </c>
      <c r="E579" s="8">
        <v>55.79163333333333</v>
      </c>
      <c r="F579" s="8">
        <v>-133.2833</v>
      </c>
      <c r="G579" s="9" t="s">
        <v>30</v>
      </c>
      <c r="H579" s="3" t="s">
        <v>31</v>
      </c>
      <c r="I579" s="3" t="s">
        <v>31</v>
      </c>
      <c r="J579" s="3" t="s">
        <v>31</v>
      </c>
      <c r="K579" s="7" t="s">
        <v>51</v>
      </c>
      <c r="L579" s="9">
        <v>13</v>
      </c>
      <c r="M579" s="9">
        <v>0</v>
      </c>
      <c r="N579" s="9">
        <f t="shared" si="52"/>
        <v>13</v>
      </c>
      <c r="O579" s="29">
        <f>M582</f>
        <v>84</v>
      </c>
      <c r="P579" s="29">
        <f>L579</f>
        <v>13</v>
      </c>
      <c r="Q579" s="29">
        <f>P579+O579</f>
        <v>97</v>
      </c>
      <c r="R579" s="11">
        <v>0</v>
      </c>
      <c r="S579" s="1">
        <v>0.12</v>
      </c>
      <c r="T579" s="1">
        <f t="shared" si="53"/>
        <v>0.12</v>
      </c>
      <c r="U579" s="12">
        <v>0</v>
      </c>
      <c r="V579" s="31">
        <v>40.639330342105275</v>
      </c>
      <c r="W579" s="14">
        <f t="shared" ref="W579:W642" si="54">T579*V579/100*N579*100*100*((100-U579)/100)</f>
        <v>6339.7355333684227</v>
      </c>
      <c r="X579" s="14">
        <f>SUM(W579:W582)</f>
        <v>41800.798054318424</v>
      </c>
      <c r="Y579" s="14">
        <f t="shared" si="51"/>
        <v>6339.7355333684227</v>
      </c>
      <c r="Z579" s="15">
        <f>SUM(Y579:Y582)/10^6*10^4</f>
        <v>418.00798054318426</v>
      </c>
      <c r="AA579" s="16">
        <v>61.263231569571531</v>
      </c>
      <c r="AB579" s="5"/>
      <c r="AC579" s="1"/>
      <c r="AD579" s="28"/>
      <c r="AE579" s="28"/>
      <c r="AF579" s="3"/>
      <c r="AG579" s="7"/>
      <c r="AH579" s="7"/>
      <c r="AI579" s="3" t="s">
        <v>75</v>
      </c>
      <c r="AJ579" s="7" t="s">
        <v>67</v>
      </c>
      <c r="AK579" s="3"/>
      <c r="AL579" cm="1">
        <f t="array" ref="AL579">IF(getColor(V579) = 16777215, 0, 1)</f>
        <v>1</v>
      </c>
    </row>
    <row r="580" spans="1:38">
      <c r="A580" s="1">
        <v>579</v>
      </c>
      <c r="B580" s="3" t="s">
        <v>27</v>
      </c>
      <c r="C580" s="7" t="s">
        <v>304</v>
      </c>
      <c r="D580" s="7" t="s">
        <v>168</v>
      </c>
      <c r="E580" s="8">
        <v>55.79163333333333</v>
      </c>
      <c r="F580" s="8">
        <v>-133.2833</v>
      </c>
      <c r="G580" s="9" t="s">
        <v>30</v>
      </c>
      <c r="H580" s="3" t="s">
        <v>31</v>
      </c>
      <c r="I580" s="3" t="s">
        <v>31</v>
      </c>
      <c r="J580" s="3" t="s">
        <v>31</v>
      </c>
      <c r="K580" s="7" t="s">
        <v>69</v>
      </c>
      <c r="L580" s="9">
        <v>0</v>
      </c>
      <c r="M580" s="9">
        <v>20</v>
      </c>
      <c r="N580" s="9">
        <f t="shared" si="52"/>
        <v>20</v>
      </c>
      <c r="O580" s="9"/>
      <c r="P580" s="9"/>
      <c r="Q580" s="25"/>
      <c r="R580" s="11">
        <v>0</v>
      </c>
      <c r="S580" s="1">
        <v>1.46</v>
      </c>
      <c r="T580" s="1">
        <f t="shared" si="53"/>
        <v>1.46</v>
      </c>
      <c r="U580" s="12">
        <v>17</v>
      </c>
      <c r="V580" s="13">
        <v>3.0027049999999997</v>
      </c>
      <c r="W580" s="14">
        <f t="shared" si="54"/>
        <v>7277.3558379999986</v>
      </c>
      <c r="X580" s="25"/>
      <c r="Y580" s="14">
        <f t="shared" si="51"/>
        <v>7277.3558379999986</v>
      </c>
      <c r="Z580" s="3"/>
      <c r="AA580" s="3"/>
      <c r="AB580" s="5"/>
      <c r="AC580" s="5"/>
      <c r="AD580" s="32"/>
      <c r="AE580" s="28"/>
      <c r="AF580" s="3"/>
      <c r="AG580" s="7"/>
      <c r="AH580" s="7"/>
      <c r="AI580" s="3" t="s">
        <v>75</v>
      </c>
      <c r="AJ580" s="7" t="s">
        <v>70</v>
      </c>
      <c r="AK580" s="3"/>
      <c r="AL580" cm="1">
        <f t="array" ref="AL580">IF(getColor(V580) = 16777215, 0, 1)</f>
        <v>0</v>
      </c>
    </row>
    <row r="581" spans="1:38">
      <c r="A581" s="1">
        <v>580</v>
      </c>
      <c r="B581" s="3" t="s">
        <v>27</v>
      </c>
      <c r="C581" s="7" t="s">
        <v>304</v>
      </c>
      <c r="D581" s="7" t="s">
        <v>168</v>
      </c>
      <c r="E581" s="8">
        <v>55.79163333333333</v>
      </c>
      <c r="F581" s="8">
        <v>-133.2833</v>
      </c>
      <c r="G581" s="9" t="s">
        <v>30</v>
      </c>
      <c r="H581" s="3" t="s">
        <v>31</v>
      </c>
      <c r="I581" s="3" t="s">
        <v>31</v>
      </c>
      <c r="J581" s="3" t="s">
        <v>31</v>
      </c>
      <c r="K581" s="7" t="s">
        <v>71</v>
      </c>
      <c r="L581" s="9">
        <v>20</v>
      </c>
      <c r="M581" s="9">
        <v>43</v>
      </c>
      <c r="N581" s="9">
        <f t="shared" si="52"/>
        <v>23</v>
      </c>
      <c r="O581" s="9"/>
      <c r="P581" s="9"/>
      <c r="Q581" s="25"/>
      <c r="R581" s="11">
        <v>0</v>
      </c>
      <c r="S581" s="1">
        <v>1.46</v>
      </c>
      <c r="T581" s="1">
        <f t="shared" si="53"/>
        <v>1.46</v>
      </c>
      <c r="U581" s="12">
        <v>9</v>
      </c>
      <c r="V581" s="13">
        <v>2.4234049999999998</v>
      </c>
      <c r="W581" s="14">
        <f t="shared" si="54"/>
        <v>7405.3925308999987</v>
      </c>
      <c r="X581" s="25"/>
      <c r="Y581" s="14">
        <f t="shared" si="51"/>
        <v>7405.3925308999987</v>
      </c>
      <c r="Z581" s="3"/>
      <c r="AA581" s="3"/>
      <c r="AB581" s="5"/>
      <c r="AC581" s="1"/>
      <c r="AD581" s="28"/>
      <c r="AE581" s="28"/>
      <c r="AF581" s="3"/>
      <c r="AG581" s="7"/>
      <c r="AH581" s="7"/>
      <c r="AI581" s="3" t="s">
        <v>75</v>
      </c>
      <c r="AJ581" s="7" t="s">
        <v>72</v>
      </c>
      <c r="AK581" s="3"/>
      <c r="AL581" cm="1">
        <f t="array" ref="AL581">IF(getColor(V581) = 16777215, 0, 1)</f>
        <v>0</v>
      </c>
    </row>
    <row r="582" spans="1:38">
      <c r="A582" s="1">
        <v>581</v>
      </c>
      <c r="B582" s="3" t="s">
        <v>27</v>
      </c>
      <c r="C582" s="7" t="s">
        <v>304</v>
      </c>
      <c r="D582" s="7" t="s">
        <v>168</v>
      </c>
      <c r="E582" s="8">
        <v>55.79163333333333</v>
      </c>
      <c r="F582" s="8">
        <v>-133.2833</v>
      </c>
      <c r="G582" s="9" t="s">
        <v>30</v>
      </c>
      <c r="H582" s="3" t="s">
        <v>31</v>
      </c>
      <c r="I582" s="3" t="s">
        <v>31</v>
      </c>
      <c r="J582" s="3" t="s">
        <v>31</v>
      </c>
      <c r="K582" s="7" t="s">
        <v>79</v>
      </c>
      <c r="L582" s="9">
        <v>43</v>
      </c>
      <c r="M582" s="9">
        <v>84</v>
      </c>
      <c r="N582" s="9">
        <f t="shared" si="52"/>
        <v>41</v>
      </c>
      <c r="O582" s="9"/>
      <c r="P582" s="9"/>
      <c r="Q582" s="25"/>
      <c r="R582" s="11">
        <v>0</v>
      </c>
      <c r="S582" s="1">
        <v>1.19</v>
      </c>
      <c r="T582" s="1">
        <f t="shared" si="53"/>
        <v>1.19</v>
      </c>
      <c r="U582" s="12">
        <v>13</v>
      </c>
      <c r="V582" s="13">
        <v>4.8950850000000008</v>
      </c>
      <c r="W582" s="14">
        <f t="shared" si="54"/>
        <v>20778.314152050003</v>
      </c>
      <c r="X582" s="25"/>
      <c r="Y582" s="14">
        <f t="shared" si="51"/>
        <v>20778.314152050003</v>
      </c>
      <c r="Z582" s="3"/>
      <c r="AA582" s="3"/>
      <c r="AB582" s="5"/>
      <c r="AC582" s="1"/>
      <c r="AD582" s="28"/>
      <c r="AE582" s="28"/>
      <c r="AF582" s="3"/>
      <c r="AG582" s="7"/>
      <c r="AH582" s="7"/>
      <c r="AI582" s="3" t="s">
        <v>75</v>
      </c>
      <c r="AJ582" s="7" t="s">
        <v>79</v>
      </c>
      <c r="AK582" s="3"/>
      <c r="AL582" cm="1">
        <f t="array" ref="AL582">IF(getColor(V582) = 16777215, 0, 1)</f>
        <v>0</v>
      </c>
    </row>
    <row r="583" spans="1:38">
      <c r="A583" s="1">
        <v>582</v>
      </c>
      <c r="B583" s="3" t="s">
        <v>27</v>
      </c>
      <c r="C583" s="7" t="s">
        <v>305</v>
      </c>
      <c r="D583" s="7" t="s">
        <v>306</v>
      </c>
      <c r="E583" s="8">
        <v>55.797188888888883</v>
      </c>
      <c r="F583" s="8">
        <v>-133.18746666666667</v>
      </c>
      <c r="G583" s="9" t="s">
        <v>30</v>
      </c>
      <c r="H583" s="3" t="s">
        <v>31</v>
      </c>
      <c r="I583" s="3" t="s">
        <v>31</v>
      </c>
      <c r="J583" s="3" t="s">
        <v>31</v>
      </c>
      <c r="K583" s="7" t="s">
        <v>49</v>
      </c>
      <c r="L583" s="9">
        <v>10</v>
      </c>
      <c r="M583" s="9">
        <v>5</v>
      </c>
      <c r="N583" s="9">
        <f t="shared" si="52"/>
        <v>5</v>
      </c>
      <c r="O583" s="29">
        <f>M590</f>
        <v>101</v>
      </c>
      <c r="P583" s="29">
        <f>L583</f>
        <v>10</v>
      </c>
      <c r="Q583" s="29">
        <f>P583+O583</f>
        <v>111</v>
      </c>
      <c r="R583" s="11">
        <v>0</v>
      </c>
      <c r="S583" s="1">
        <v>0.08</v>
      </c>
      <c r="T583" s="1">
        <f t="shared" si="53"/>
        <v>0.08</v>
      </c>
      <c r="U583" s="12">
        <v>0</v>
      </c>
      <c r="V583" s="13">
        <v>49.839109999999998</v>
      </c>
      <c r="W583" s="14">
        <f t="shared" si="54"/>
        <v>1993.5644</v>
      </c>
      <c r="X583" s="14">
        <f>SUM(W583:W590)</f>
        <v>79611.58101509999</v>
      </c>
      <c r="Y583" s="14">
        <f t="shared" si="51"/>
        <v>1993.5644</v>
      </c>
      <c r="Z583" s="15">
        <f>SUM(Y583:Y590)/10^6*10^4</f>
        <v>795.00824068799989</v>
      </c>
      <c r="AA583" s="16">
        <v>78.578404506492731</v>
      </c>
      <c r="AB583" s="5"/>
      <c r="AC583" s="1"/>
      <c r="AD583" s="28"/>
      <c r="AE583" s="28"/>
      <c r="AF583" s="3"/>
      <c r="AG583" s="7"/>
      <c r="AH583" s="7"/>
      <c r="AI583" s="3" t="s">
        <v>75</v>
      </c>
      <c r="AJ583" s="7" t="s">
        <v>60</v>
      </c>
      <c r="AK583" s="3"/>
      <c r="AL583" cm="1">
        <f t="array" ref="AL583">IF(getColor(V583) = 16777215, 0, 1)</f>
        <v>0</v>
      </c>
    </row>
    <row r="584" spans="1:38">
      <c r="A584" s="1">
        <v>583</v>
      </c>
      <c r="B584" s="3" t="s">
        <v>27</v>
      </c>
      <c r="C584" s="7" t="s">
        <v>305</v>
      </c>
      <c r="D584" s="7" t="s">
        <v>306</v>
      </c>
      <c r="E584" s="8">
        <v>55.797188888888883</v>
      </c>
      <c r="F584" s="8">
        <v>-133.18746666666667</v>
      </c>
      <c r="G584" s="9" t="s">
        <v>30</v>
      </c>
      <c r="H584" s="3" t="s">
        <v>31</v>
      </c>
      <c r="I584" s="3" t="s">
        <v>31</v>
      </c>
      <c r="J584" s="3" t="s">
        <v>31</v>
      </c>
      <c r="K584" s="7" t="s">
        <v>51</v>
      </c>
      <c r="L584" s="9">
        <v>5</v>
      </c>
      <c r="M584" s="9">
        <v>0</v>
      </c>
      <c r="N584" s="9">
        <f t="shared" si="52"/>
        <v>5</v>
      </c>
      <c r="O584" s="9"/>
      <c r="P584" s="9"/>
      <c r="Q584" s="25"/>
      <c r="R584" s="11">
        <v>0</v>
      </c>
      <c r="S584" s="1">
        <v>0.12</v>
      </c>
      <c r="T584" s="1">
        <f t="shared" si="53"/>
        <v>0.12</v>
      </c>
      <c r="U584" s="12">
        <v>0</v>
      </c>
      <c r="V584" s="13">
        <v>49.588079999999998</v>
      </c>
      <c r="W584" s="14">
        <f t="shared" si="54"/>
        <v>2975.2847999999999</v>
      </c>
      <c r="X584" s="25"/>
      <c r="Y584" s="14">
        <f t="shared" si="51"/>
        <v>2975.2847999999999</v>
      </c>
      <c r="Z584" s="3"/>
      <c r="AA584" s="3"/>
      <c r="AB584" s="5"/>
      <c r="AC584" s="5"/>
      <c r="AD584" s="28"/>
      <c r="AE584" s="28"/>
      <c r="AF584" s="3"/>
      <c r="AG584" s="7"/>
      <c r="AH584" s="7"/>
      <c r="AI584" s="3" t="s">
        <v>75</v>
      </c>
      <c r="AJ584" s="7" t="s">
        <v>67</v>
      </c>
      <c r="AK584" s="3"/>
      <c r="AL584" cm="1">
        <f t="array" ref="AL584">IF(getColor(V584) = 16777215, 0, 1)</f>
        <v>0</v>
      </c>
    </row>
    <row r="585" spans="1:38">
      <c r="A585" s="1">
        <v>584</v>
      </c>
      <c r="B585" s="3" t="s">
        <v>27</v>
      </c>
      <c r="C585" s="7" t="s">
        <v>305</v>
      </c>
      <c r="D585" s="7" t="s">
        <v>306</v>
      </c>
      <c r="E585" s="8">
        <v>55.797188888888883</v>
      </c>
      <c r="F585" s="8">
        <v>-133.18746666666667</v>
      </c>
      <c r="G585" s="9" t="s">
        <v>30</v>
      </c>
      <c r="H585" s="3" t="s">
        <v>31</v>
      </c>
      <c r="I585" s="3" t="s">
        <v>31</v>
      </c>
      <c r="J585" s="3" t="s">
        <v>31</v>
      </c>
      <c r="K585" s="7" t="s">
        <v>47</v>
      </c>
      <c r="L585" s="9">
        <v>0</v>
      </c>
      <c r="M585" s="9">
        <v>3</v>
      </c>
      <c r="N585" s="9">
        <f t="shared" si="52"/>
        <v>3</v>
      </c>
      <c r="O585" s="9"/>
      <c r="P585" s="9"/>
      <c r="Q585" s="25"/>
      <c r="R585" s="11">
        <v>0</v>
      </c>
      <c r="S585" s="1">
        <v>1.31</v>
      </c>
      <c r="T585" s="1">
        <f t="shared" si="53"/>
        <v>1.31</v>
      </c>
      <c r="U585" s="12">
        <v>3</v>
      </c>
      <c r="V585" s="13">
        <v>17.890715</v>
      </c>
      <c r="W585" s="14">
        <f t="shared" si="54"/>
        <v>6820.1194651499991</v>
      </c>
      <c r="X585" s="25"/>
      <c r="Y585" s="14">
        <f t="shared" si="51"/>
        <v>6820.1194651499991</v>
      </c>
      <c r="Z585" s="3"/>
      <c r="AA585" s="3"/>
      <c r="AB585" s="5"/>
      <c r="AC585" s="1"/>
      <c r="AD585" s="28"/>
      <c r="AE585" s="28"/>
      <c r="AF585" s="3"/>
      <c r="AG585" s="7"/>
      <c r="AH585" s="7"/>
      <c r="AI585" s="3" t="s">
        <v>75</v>
      </c>
      <c r="AJ585" s="7" t="s">
        <v>47</v>
      </c>
      <c r="AK585" s="3"/>
      <c r="AL585" cm="1">
        <f t="array" ref="AL585">IF(getColor(V585) = 16777215, 0, 1)</f>
        <v>0</v>
      </c>
    </row>
    <row r="586" spans="1:38">
      <c r="A586" s="1">
        <v>585</v>
      </c>
      <c r="B586" s="3" t="s">
        <v>27</v>
      </c>
      <c r="C586" s="7" t="s">
        <v>305</v>
      </c>
      <c r="D586" s="7" t="s">
        <v>306</v>
      </c>
      <c r="E586" s="8">
        <v>55.797188888888883</v>
      </c>
      <c r="F586" s="8">
        <v>-133.18746666666667</v>
      </c>
      <c r="G586" s="9" t="s">
        <v>30</v>
      </c>
      <c r="H586" s="3" t="s">
        <v>31</v>
      </c>
      <c r="I586" s="3" t="s">
        <v>31</v>
      </c>
      <c r="J586" s="3" t="s">
        <v>31</v>
      </c>
      <c r="K586" s="7" t="s">
        <v>68</v>
      </c>
      <c r="L586" s="9">
        <v>3</v>
      </c>
      <c r="M586" s="9">
        <v>9</v>
      </c>
      <c r="N586" s="9">
        <f t="shared" si="52"/>
        <v>6</v>
      </c>
      <c r="O586" s="9"/>
      <c r="P586" s="9"/>
      <c r="Q586" s="25"/>
      <c r="R586" s="11">
        <v>0</v>
      </c>
      <c r="S586" s="1">
        <v>1.19</v>
      </c>
      <c r="T586" s="1">
        <f t="shared" si="53"/>
        <v>1.19</v>
      </c>
      <c r="U586" s="12">
        <v>3</v>
      </c>
      <c r="V586" s="13">
        <v>19.464480000000002</v>
      </c>
      <c r="W586" s="14">
        <f t="shared" si="54"/>
        <v>13480.7095584</v>
      </c>
      <c r="X586" s="25"/>
      <c r="Y586" s="14">
        <f t="shared" si="51"/>
        <v>13480.7095584</v>
      </c>
      <c r="Z586" s="3"/>
      <c r="AA586" s="3"/>
      <c r="AB586" s="5"/>
      <c r="AC586" s="1"/>
      <c r="AD586" s="28"/>
      <c r="AE586" s="28"/>
      <c r="AF586" s="3"/>
      <c r="AG586" s="7"/>
      <c r="AH586" s="7"/>
      <c r="AI586" s="3" t="s">
        <v>75</v>
      </c>
      <c r="AJ586" s="7" t="s">
        <v>68</v>
      </c>
      <c r="AK586" s="3"/>
      <c r="AL586" cm="1">
        <f t="array" ref="AL586">IF(getColor(V586) = 16777215, 0, 1)</f>
        <v>0</v>
      </c>
    </row>
    <row r="587" spans="1:38">
      <c r="A587" s="1">
        <v>586</v>
      </c>
      <c r="B587" s="3" t="s">
        <v>27</v>
      </c>
      <c r="C587" s="7" t="s">
        <v>305</v>
      </c>
      <c r="D587" s="7" t="s">
        <v>306</v>
      </c>
      <c r="E587" s="8">
        <v>55.797188888888883</v>
      </c>
      <c r="F587" s="8">
        <v>-133.18746666666667</v>
      </c>
      <c r="G587" s="9" t="s">
        <v>30</v>
      </c>
      <c r="H587" s="3" t="s">
        <v>31</v>
      </c>
      <c r="I587" s="3" t="s">
        <v>31</v>
      </c>
      <c r="J587" s="3" t="s">
        <v>31</v>
      </c>
      <c r="K587" s="7" t="s">
        <v>41</v>
      </c>
      <c r="L587" s="9">
        <v>9</v>
      </c>
      <c r="M587" s="9">
        <v>26</v>
      </c>
      <c r="N587" s="9">
        <f t="shared" si="52"/>
        <v>17</v>
      </c>
      <c r="O587" s="9"/>
      <c r="P587" s="9"/>
      <c r="Q587" s="25"/>
      <c r="R587" s="11">
        <v>0</v>
      </c>
      <c r="S587" s="1">
        <v>1.46</v>
      </c>
      <c r="T587" s="1">
        <f t="shared" si="53"/>
        <v>1.46</v>
      </c>
      <c r="U587" s="12">
        <v>8</v>
      </c>
      <c r="V587" s="13">
        <v>8.7957049999999999</v>
      </c>
      <c r="W587" s="14">
        <f t="shared" si="54"/>
        <v>20084.464625200002</v>
      </c>
      <c r="X587" s="25"/>
      <c r="Y587" s="14">
        <f t="shared" si="51"/>
        <v>20084.464625200002</v>
      </c>
      <c r="Z587" s="3"/>
      <c r="AA587" s="3"/>
      <c r="AB587" s="5"/>
      <c r="AC587" s="1"/>
      <c r="AD587" s="28"/>
      <c r="AE587" s="28"/>
      <c r="AF587" s="3"/>
      <c r="AG587" s="7"/>
      <c r="AH587" s="7"/>
      <c r="AI587" s="3" t="s">
        <v>75</v>
      </c>
      <c r="AJ587" s="7" t="s">
        <v>61</v>
      </c>
      <c r="AK587" s="3"/>
      <c r="AL587" cm="1">
        <f t="array" ref="AL587">IF(getColor(V587) = 16777215, 0, 1)</f>
        <v>0</v>
      </c>
    </row>
    <row r="588" spans="1:38">
      <c r="A588" s="1">
        <v>587</v>
      </c>
      <c r="B588" s="3" t="s">
        <v>27</v>
      </c>
      <c r="C588" s="7" t="s">
        <v>305</v>
      </c>
      <c r="D588" s="7" t="s">
        <v>306</v>
      </c>
      <c r="E588" s="8">
        <v>55.797188888888883</v>
      </c>
      <c r="F588" s="8">
        <v>-133.18746666666667</v>
      </c>
      <c r="G588" s="9" t="s">
        <v>30</v>
      </c>
      <c r="H588" s="3" t="s">
        <v>31</v>
      </c>
      <c r="I588" s="3" t="s">
        <v>31</v>
      </c>
      <c r="J588" s="3" t="s">
        <v>31</v>
      </c>
      <c r="K588" s="7" t="s">
        <v>299</v>
      </c>
      <c r="L588" s="9">
        <v>26</v>
      </c>
      <c r="M588" s="9">
        <v>55</v>
      </c>
      <c r="N588" s="9">
        <f t="shared" si="52"/>
        <v>29</v>
      </c>
      <c r="O588" s="9"/>
      <c r="P588" s="9"/>
      <c r="Q588" s="25"/>
      <c r="R588" s="11">
        <v>0</v>
      </c>
      <c r="S588" s="1">
        <v>1.19</v>
      </c>
      <c r="T588" s="1">
        <f t="shared" si="53"/>
        <v>1.19</v>
      </c>
      <c r="U588" s="12">
        <v>12</v>
      </c>
      <c r="V588" s="13">
        <v>7.5019349999999996</v>
      </c>
      <c r="W588" s="14">
        <f t="shared" si="54"/>
        <v>22782.476362799993</v>
      </c>
      <c r="X588" s="25"/>
      <c r="Y588" s="14">
        <f t="shared" si="51"/>
        <v>22782.476362799993</v>
      </c>
      <c r="Z588" s="3"/>
      <c r="AA588" s="3"/>
      <c r="AB588" s="5"/>
      <c r="AC588" s="1"/>
      <c r="AD588" s="28"/>
      <c r="AE588" s="28"/>
      <c r="AF588" s="3"/>
      <c r="AG588" s="7"/>
      <c r="AH588" s="7"/>
      <c r="AI588" s="3" t="s">
        <v>75</v>
      </c>
      <c r="AJ588" s="7" t="s">
        <v>299</v>
      </c>
      <c r="AK588" s="3"/>
      <c r="AL588" cm="1">
        <f t="array" ref="AL588">IF(getColor(V588) = 16777215, 0, 1)</f>
        <v>0</v>
      </c>
    </row>
    <row r="589" spans="1:38">
      <c r="A589" s="1">
        <v>588</v>
      </c>
      <c r="B589" s="3" t="s">
        <v>27</v>
      </c>
      <c r="C589" s="7" t="s">
        <v>305</v>
      </c>
      <c r="D589" s="7" t="s">
        <v>306</v>
      </c>
      <c r="E589" s="8">
        <v>55.797188888888883</v>
      </c>
      <c r="F589" s="8">
        <v>-133.18746666666667</v>
      </c>
      <c r="G589" s="9" t="s">
        <v>30</v>
      </c>
      <c r="H589" s="3" t="s">
        <v>31</v>
      </c>
      <c r="I589" s="3" t="s">
        <v>31</v>
      </c>
      <c r="J589" s="3" t="s">
        <v>31</v>
      </c>
      <c r="K589" s="7" t="s">
        <v>44</v>
      </c>
      <c r="L589" s="9">
        <v>55</v>
      </c>
      <c r="M589" s="9">
        <v>80</v>
      </c>
      <c r="N589" s="9">
        <f t="shared" si="52"/>
        <v>25</v>
      </c>
      <c r="O589" s="9"/>
      <c r="P589" s="9"/>
      <c r="Q589" s="25"/>
      <c r="R589" s="11">
        <v>0</v>
      </c>
      <c r="S589" s="1">
        <v>1.91</v>
      </c>
      <c r="T589" s="1">
        <f t="shared" si="53"/>
        <v>1.91</v>
      </c>
      <c r="U589" s="12">
        <v>19</v>
      </c>
      <c r="V589" s="13">
        <v>2.3654750000000004</v>
      </c>
      <c r="W589" s="14">
        <f t="shared" si="54"/>
        <v>9149.0659312500029</v>
      </c>
      <c r="X589" s="25"/>
      <c r="Y589" s="14">
        <f t="shared" si="51"/>
        <v>9149.0659312500029</v>
      </c>
      <c r="Z589" s="3"/>
      <c r="AA589" s="3"/>
      <c r="AB589" s="5"/>
      <c r="AC589" s="1"/>
      <c r="AD589" s="28"/>
      <c r="AE589" s="28"/>
      <c r="AF589" s="3"/>
      <c r="AG589" s="7"/>
      <c r="AH589" s="7"/>
      <c r="AI589" s="3" t="s">
        <v>75</v>
      </c>
      <c r="AJ589" s="7" t="s">
        <v>44</v>
      </c>
      <c r="AK589" s="3"/>
      <c r="AL589" cm="1">
        <f t="array" ref="AL589">IF(getColor(V589) = 16777215, 0, 1)</f>
        <v>0</v>
      </c>
    </row>
    <row r="590" spans="1:38">
      <c r="A590" s="1">
        <v>589</v>
      </c>
      <c r="B590" s="3" t="s">
        <v>27</v>
      </c>
      <c r="C590" s="7" t="s">
        <v>305</v>
      </c>
      <c r="D590" s="7" t="s">
        <v>306</v>
      </c>
      <c r="E590" s="8">
        <v>55.797188888888883</v>
      </c>
      <c r="F590" s="8">
        <v>-133.18746666666667</v>
      </c>
      <c r="G590" s="9" t="s">
        <v>30</v>
      </c>
      <c r="H590" s="3" t="s">
        <v>31</v>
      </c>
      <c r="I590" s="3" t="s">
        <v>31</v>
      </c>
      <c r="J590" s="3" t="s">
        <v>31</v>
      </c>
      <c r="K590" s="7" t="s">
        <v>124</v>
      </c>
      <c r="L590" s="9">
        <v>80</v>
      </c>
      <c r="M590" s="9">
        <v>101</v>
      </c>
      <c r="N590" s="9">
        <f t="shared" si="52"/>
        <v>21</v>
      </c>
      <c r="O590" s="9"/>
      <c r="P590" s="9"/>
      <c r="Q590" s="25"/>
      <c r="R590" s="11">
        <v>0</v>
      </c>
      <c r="S590" s="1">
        <v>1.91</v>
      </c>
      <c r="T590" s="1">
        <f t="shared" si="53"/>
        <v>1.91</v>
      </c>
      <c r="U590" s="12">
        <v>34</v>
      </c>
      <c r="V590" s="13">
        <v>0.87860500000000008</v>
      </c>
      <c r="W590" s="14">
        <f t="shared" si="54"/>
        <v>2325.8958723000005</v>
      </c>
      <c r="X590" s="25"/>
      <c r="Y590" s="14">
        <f>IF(L590&gt;-100,W590-W590*(ABS(M590)-100)/(ABS(M590)-ABS(L590)),0)</f>
        <v>2215.1389260000005</v>
      </c>
      <c r="Z590" s="3"/>
      <c r="AA590" s="3"/>
      <c r="AB590" s="5"/>
      <c r="AC590" s="1"/>
      <c r="AD590" s="28"/>
      <c r="AE590" s="28"/>
      <c r="AF590" s="3"/>
      <c r="AG590" s="7"/>
      <c r="AH590" s="7"/>
      <c r="AI590" s="3" t="s">
        <v>75</v>
      </c>
      <c r="AJ590" s="7" t="s">
        <v>124</v>
      </c>
      <c r="AK590" s="3"/>
      <c r="AL590" cm="1">
        <f t="array" ref="AL590">IF(getColor(V590) = 16777215, 0, 1)</f>
        <v>0</v>
      </c>
    </row>
    <row r="591" spans="1:38">
      <c r="A591" s="1">
        <v>590</v>
      </c>
      <c r="B591" s="3" t="s">
        <v>27</v>
      </c>
      <c r="C591" s="7" t="s">
        <v>307</v>
      </c>
      <c r="D591" s="7" t="s">
        <v>197</v>
      </c>
      <c r="E591" s="8">
        <v>55.786077777777777</v>
      </c>
      <c r="F591" s="8">
        <v>-133.4333</v>
      </c>
      <c r="G591" s="9" t="s">
        <v>30</v>
      </c>
      <c r="H591" s="3" t="s">
        <v>31</v>
      </c>
      <c r="I591" s="3" t="s">
        <v>31</v>
      </c>
      <c r="J591" s="3" t="s">
        <v>31</v>
      </c>
      <c r="K591" s="7" t="s">
        <v>51</v>
      </c>
      <c r="L591" s="9">
        <v>10</v>
      </c>
      <c r="M591" s="9">
        <v>0</v>
      </c>
      <c r="N591" s="9">
        <f t="shared" si="52"/>
        <v>10</v>
      </c>
      <c r="O591" s="29">
        <f>M596</f>
        <v>100</v>
      </c>
      <c r="P591" s="29">
        <f>L591</f>
        <v>10</v>
      </c>
      <c r="Q591" s="29">
        <f>P591+O591</f>
        <v>110</v>
      </c>
      <c r="R591" s="11">
        <v>0</v>
      </c>
      <c r="S591" s="1">
        <v>0.12</v>
      </c>
      <c r="T591" s="1">
        <f t="shared" si="53"/>
        <v>0.12</v>
      </c>
      <c r="U591" s="12">
        <v>0</v>
      </c>
      <c r="V591" s="13">
        <v>41.88</v>
      </c>
      <c r="W591" s="14">
        <f t="shared" si="54"/>
        <v>5025.5999999999985</v>
      </c>
      <c r="X591" s="14">
        <f>SUM(W591:W596)</f>
        <v>56709.845399999991</v>
      </c>
      <c r="Y591" s="14">
        <f t="shared" ref="Y591:Y601" si="55">T591*V591/100*N591*100*100*((100-U591)/100)</f>
        <v>5025.5999999999985</v>
      </c>
      <c r="Z591" s="15">
        <f>SUM(Y591:Y596)/10^6*10^4</f>
        <v>567.09845399999995</v>
      </c>
      <c r="AA591" s="16">
        <v>60.753167000520605</v>
      </c>
      <c r="AB591" s="5"/>
      <c r="AC591" s="1"/>
      <c r="AD591" s="28"/>
      <c r="AE591" s="28"/>
      <c r="AF591" s="3"/>
      <c r="AG591" s="7"/>
      <c r="AH591" s="7"/>
      <c r="AI591" s="3" t="s">
        <v>107</v>
      </c>
      <c r="AJ591" s="7" t="s">
        <v>67</v>
      </c>
      <c r="AK591" s="3"/>
      <c r="AL591" cm="1">
        <f t="array" ref="AL591">IF(getColor(V591) = 16777215, 0, 1)</f>
        <v>0</v>
      </c>
    </row>
    <row r="592" spans="1:38">
      <c r="A592" s="1">
        <v>591</v>
      </c>
      <c r="B592" s="3" t="s">
        <v>27</v>
      </c>
      <c r="C592" s="7" t="s">
        <v>307</v>
      </c>
      <c r="D592" s="7" t="s">
        <v>197</v>
      </c>
      <c r="E592" s="8">
        <v>55.786077777777777</v>
      </c>
      <c r="F592" s="8">
        <v>-133.4333</v>
      </c>
      <c r="G592" s="9" t="s">
        <v>30</v>
      </c>
      <c r="H592" s="3" t="s">
        <v>31</v>
      </c>
      <c r="I592" s="3" t="s">
        <v>31</v>
      </c>
      <c r="J592" s="3" t="s">
        <v>31</v>
      </c>
      <c r="K592" s="7" t="s">
        <v>47</v>
      </c>
      <c r="L592" s="9">
        <v>0</v>
      </c>
      <c r="M592" s="9">
        <v>1</v>
      </c>
      <c r="N592" s="9">
        <f t="shared" si="52"/>
        <v>1</v>
      </c>
      <c r="O592" s="9"/>
      <c r="P592" s="9"/>
      <c r="Q592" s="25"/>
      <c r="R592" s="11">
        <v>0</v>
      </c>
      <c r="S592" s="1">
        <v>0.93</v>
      </c>
      <c r="T592" s="1">
        <f t="shared" si="53"/>
        <v>0.93</v>
      </c>
      <c r="U592" s="12">
        <v>2</v>
      </c>
      <c r="V592" s="13">
        <v>4.12</v>
      </c>
      <c r="W592" s="14">
        <f t="shared" si="54"/>
        <v>375.49680000000001</v>
      </c>
      <c r="X592" s="18"/>
      <c r="Y592" s="14">
        <f t="shared" si="55"/>
        <v>375.49680000000001</v>
      </c>
      <c r="Z592" s="3"/>
      <c r="AA592" s="3"/>
      <c r="AB592" s="5"/>
      <c r="AC592" s="5"/>
      <c r="AD592" s="28"/>
      <c r="AE592" s="28"/>
      <c r="AF592" s="3"/>
      <c r="AG592" s="7"/>
      <c r="AH592" s="7"/>
      <c r="AI592" s="3" t="s">
        <v>107</v>
      </c>
      <c r="AJ592" s="7" t="s">
        <v>47</v>
      </c>
      <c r="AK592" s="3"/>
      <c r="AL592" cm="1">
        <f t="array" ref="AL592">IF(getColor(V592) = 16777215, 0, 1)</f>
        <v>0</v>
      </c>
    </row>
    <row r="593" spans="1:38">
      <c r="A593" s="1">
        <v>592</v>
      </c>
      <c r="B593" s="3" t="s">
        <v>27</v>
      </c>
      <c r="C593" s="7" t="s">
        <v>307</v>
      </c>
      <c r="D593" s="7" t="s">
        <v>197</v>
      </c>
      <c r="E593" s="8">
        <v>55.786077777777777</v>
      </c>
      <c r="F593" s="8">
        <v>-133.4333</v>
      </c>
      <c r="G593" s="9" t="s">
        <v>30</v>
      </c>
      <c r="H593" s="3" t="s">
        <v>31</v>
      </c>
      <c r="I593" s="3" t="s">
        <v>31</v>
      </c>
      <c r="J593" s="3" t="s">
        <v>31</v>
      </c>
      <c r="K593" s="7" t="s">
        <v>101</v>
      </c>
      <c r="L593" s="9">
        <v>1</v>
      </c>
      <c r="M593" s="9">
        <v>5</v>
      </c>
      <c r="N593" s="9">
        <f t="shared" si="52"/>
        <v>4</v>
      </c>
      <c r="O593" s="9"/>
      <c r="P593" s="9"/>
      <c r="Q593" s="25"/>
      <c r="R593" s="11">
        <v>0</v>
      </c>
      <c r="S593" s="1">
        <v>0.86</v>
      </c>
      <c r="T593" s="1">
        <f t="shared" si="53"/>
        <v>0.86</v>
      </c>
      <c r="U593" s="12">
        <v>5</v>
      </c>
      <c r="V593" s="13">
        <v>9.4499999999999993</v>
      </c>
      <c r="W593" s="14">
        <f t="shared" si="54"/>
        <v>3088.2599999999998</v>
      </c>
      <c r="X593" s="18"/>
      <c r="Y593" s="14">
        <f t="shared" si="55"/>
        <v>3088.2599999999998</v>
      </c>
      <c r="Z593" s="3"/>
      <c r="AA593" s="3"/>
      <c r="AB593" s="5"/>
      <c r="AC593" s="1"/>
      <c r="AD593" s="28"/>
      <c r="AE593" s="28"/>
      <c r="AF593" s="3"/>
      <c r="AG593" s="7"/>
      <c r="AH593" s="7"/>
      <c r="AI593" s="3" t="s">
        <v>107</v>
      </c>
      <c r="AJ593" s="7" t="s">
        <v>102</v>
      </c>
      <c r="AK593" s="3"/>
      <c r="AL593" cm="1">
        <f t="array" ref="AL593">IF(getColor(V593) = 16777215, 0, 1)</f>
        <v>0</v>
      </c>
    </row>
    <row r="594" spans="1:38">
      <c r="A594" s="1">
        <v>593</v>
      </c>
      <c r="B594" s="3" t="s">
        <v>27</v>
      </c>
      <c r="C594" s="7" t="s">
        <v>307</v>
      </c>
      <c r="D594" s="7" t="s">
        <v>197</v>
      </c>
      <c r="E594" s="8">
        <v>55.786077777777777</v>
      </c>
      <c r="F594" s="8">
        <v>-133.4333</v>
      </c>
      <c r="G594" s="9" t="s">
        <v>30</v>
      </c>
      <c r="H594" s="3" t="s">
        <v>31</v>
      </c>
      <c r="I594" s="3" t="s">
        <v>31</v>
      </c>
      <c r="J594" s="3" t="s">
        <v>31</v>
      </c>
      <c r="K594" s="7" t="s">
        <v>103</v>
      </c>
      <c r="L594" s="9">
        <v>5</v>
      </c>
      <c r="M594" s="9">
        <v>20</v>
      </c>
      <c r="N594" s="9">
        <f t="shared" si="52"/>
        <v>15</v>
      </c>
      <c r="O594" s="9"/>
      <c r="P594" s="9"/>
      <c r="Q594" s="25"/>
      <c r="R594" s="11">
        <v>0</v>
      </c>
      <c r="S594" s="1">
        <v>0.86</v>
      </c>
      <c r="T594" s="1">
        <f t="shared" si="53"/>
        <v>0.86</v>
      </c>
      <c r="U594" s="12">
        <v>15</v>
      </c>
      <c r="V594" s="13">
        <v>4.6100000000000003</v>
      </c>
      <c r="W594" s="14">
        <f t="shared" si="54"/>
        <v>5054.8650000000007</v>
      </c>
      <c r="X594" s="18"/>
      <c r="Y594" s="14">
        <f t="shared" si="55"/>
        <v>5054.8650000000007</v>
      </c>
      <c r="Z594" s="3"/>
      <c r="AA594" s="3"/>
      <c r="AB594" s="5"/>
      <c r="AC594" s="1"/>
      <c r="AD594" s="28"/>
      <c r="AE594" s="28"/>
      <c r="AF594" s="3"/>
      <c r="AG594" s="7"/>
      <c r="AH594" s="7"/>
      <c r="AI594" s="3" t="s">
        <v>107</v>
      </c>
      <c r="AJ594" s="7" t="s">
        <v>104</v>
      </c>
      <c r="AK594" s="3"/>
      <c r="AL594" cm="1">
        <f t="array" ref="AL594">IF(getColor(V594) = 16777215, 0, 1)</f>
        <v>0</v>
      </c>
    </row>
    <row r="595" spans="1:38">
      <c r="A595" s="1">
        <v>594</v>
      </c>
      <c r="B595" s="3" t="s">
        <v>27</v>
      </c>
      <c r="C595" s="7" t="s">
        <v>307</v>
      </c>
      <c r="D595" s="7" t="s">
        <v>197</v>
      </c>
      <c r="E595" s="8">
        <v>55.786077777777777</v>
      </c>
      <c r="F595" s="8">
        <v>-133.4333</v>
      </c>
      <c r="G595" s="9" t="s">
        <v>30</v>
      </c>
      <c r="H595" s="3" t="s">
        <v>31</v>
      </c>
      <c r="I595" s="3" t="s">
        <v>31</v>
      </c>
      <c r="J595" s="3" t="s">
        <v>31</v>
      </c>
      <c r="K595" s="7" t="s">
        <v>41</v>
      </c>
      <c r="L595" s="9">
        <v>20</v>
      </c>
      <c r="M595" s="9">
        <v>43</v>
      </c>
      <c r="N595" s="9">
        <f t="shared" si="52"/>
        <v>23</v>
      </c>
      <c r="O595" s="9"/>
      <c r="P595" s="9"/>
      <c r="Q595" s="25"/>
      <c r="R595" s="11">
        <v>0</v>
      </c>
      <c r="S595" s="1">
        <v>1.17</v>
      </c>
      <c r="T595" s="1">
        <f t="shared" si="53"/>
        <v>1.17</v>
      </c>
      <c r="U595" s="12">
        <v>8</v>
      </c>
      <c r="V595" s="13">
        <v>3.54</v>
      </c>
      <c r="W595" s="14">
        <f t="shared" si="54"/>
        <v>8764.0488000000005</v>
      </c>
      <c r="X595" s="18"/>
      <c r="Y595" s="14">
        <f t="shared" si="55"/>
        <v>8764.0488000000005</v>
      </c>
      <c r="Z595" s="3"/>
      <c r="AA595" s="3"/>
      <c r="AB595" s="5"/>
      <c r="AC595" s="1"/>
      <c r="AD595" s="28"/>
      <c r="AE595" s="28"/>
      <c r="AF595" s="3"/>
      <c r="AG595" s="7"/>
      <c r="AH595" s="7"/>
      <c r="AI595" s="3" t="s">
        <v>107</v>
      </c>
      <c r="AJ595" s="7" t="s">
        <v>61</v>
      </c>
      <c r="AK595" s="3"/>
      <c r="AL595" cm="1">
        <f t="array" ref="AL595">IF(getColor(V595) = 16777215, 0, 1)</f>
        <v>0</v>
      </c>
    </row>
    <row r="596" spans="1:38">
      <c r="A596" s="1">
        <v>595</v>
      </c>
      <c r="B596" s="3" t="s">
        <v>27</v>
      </c>
      <c r="C596" s="7" t="s">
        <v>307</v>
      </c>
      <c r="D596" s="7" t="s">
        <v>197</v>
      </c>
      <c r="E596" s="8">
        <v>55.786077777777777</v>
      </c>
      <c r="F596" s="8">
        <v>-133.4333</v>
      </c>
      <c r="G596" s="9" t="s">
        <v>30</v>
      </c>
      <c r="H596" s="3" t="s">
        <v>31</v>
      </c>
      <c r="I596" s="3" t="s">
        <v>31</v>
      </c>
      <c r="J596" s="3" t="s">
        <v>31</v>
      </c>
      <c r="K596" s="7" t="s">
        <v>44</v>
      </c>
      <c r="L596" s="9">
        <v>43</v>
      </c>
      <c r="M596" s="9">
        <v>100</v>
      </c>
      <c r="N596" s="9">
        <f t="shared" si="52"/>
        <v>57</v>
      </c>
      <c r="O596" s="9"/>
      <c r="P596" s="9"/>
      <c r="Q596" s="25"/>
      <c r="R596" s="11">
        <v>0</v>
      </c>
      <c r="S596" s="1">
        <v>1.74</v>
      </c>
      <c r="T596" s="1">
        <f t="shared" si="53"/>
        <v>1.74</v>
      </c>
      <c r="U596" s="12">
        <v>18</v>
      </c>
      <c r="V596" s="13">
        <v>4.2300000000000004</v>
      </c>
      <c r="W596" s="14">
        <f t="shared" si="54"/>
        <v>34401.574799999995</v>
      </c>
      <c r="X596" s="18"/>
      <c r="Y596" s="14">
        <f t="shared" si="55"/>
        <v>34401.574799999995</v>
      </c>
      <c r="Z596" s="3"/>
      <c r="AA596" s="3"/>
      <c r="AB596" s="5"/>
      <c r="AC596" s="1"/>
      <c r="AD596" s="28"/>
      <c r="AE596" s="28"/>
      <c r="AF596" s="3"/>
      <c r="AG596" s="7"/>
      <c r="AH596" s="7"/>
      <c r="AI596" s="3" t="s">
        <v>107</v>
      </c>
      <c r="AJ596" s="7" t="s">
        <v>44</v>
      </c>
      <c r="AK596" s="3"/>
      <c r="AL596" cm="1">
        <f t="array" ref="AL596">IF(getColor(V596) = 16777215, 0, 1)</f>
        <v>0</v>
      </c>
    </row>
    <row r="597" spans="1:38">
      <c r="A597" s="1">
        <v>596</v>
      </c>
      <c r="B597" s="3" t="s">
        <v>27</v>
      </c>
      <c r="C597" s="7" t="s">
        <v>308</v>
      </c>
      <c r="D597" s="7" t="s">
        <v>197</v>
      </c>
      <c r="E597" s="8">
        <v>55.786077777777777</v>
      </c>
      <c r="F597" s="8">
        <v>-133.48746666666668</v>
      </c>
      <c r="G597" s="9" t="s">
        <v>30</v>
      </c>
      <c r="H597" s="3" t="s">
        <v>31</v>
      </c>
      <c r="I597" s="3" t="s">
        <v>31</v>
      </c>
      <c r="J597" s="3" t="s">
        <v>31</v>
      </c>
      <c r="K597" s="7" t="s">
        <v>49</v>
      </c>
      <c r="L597" s="9">
        <v>14</v>
      </c>
      <c r="M597" s="9">
        <v>9</v>
      </c>
      <c r="N597" s="9">
        <f t="shared" si="52"/>
        <v>5</v>
      </c>
      <c r="O597" s="29">
        <f>M602</f>
        <v>114</v>
      </c>
      <c r="P597" s="29">
        <f>L597</f>
        <v>14</v>
      </c>
      <c r="Q597" s="29">
        <f>P597+O597</f>
        <v>128</v>
      </c>
      <c r="R597" s="11">
        <v>0</v>
      </c>
      <c r="S597" s="1">
        <v>0.08</v>
      </c>
      <c r="T597" s="1">
        <f t="shared" si="53"/>
        <v>0.08</v>
      </c>
      <c r="U597" s="12"/>
      <c r="V597" s="31">
        <v>36.66627891666667</v>
      </c>
      <c r="W597" s="14">
        <f t="shared" si="54"/>
        <v>1466.6511566666668</v>
      </c>
      <c r="X597" s="14">
        <f>SUM(W597:W602)</f>
        <v>58005.768456666672</v>
      </c>
      <c r="Y597" s="14">
        <f t="shared" si="55"/>
        <v>1466.6511566666668</v>
      </c>
      <c r="Z597" s="15">
        <f>SUM(Y597:Y602)/10^6*10^4</f>
        <v>506.97604656666664</v>
      </c>
      <c r="AA597" s="16">
        <v>59.83215672475405</v>
      </c>
      <c r="AB597" s="5"/>
      <c r="AC597" s="1"/>
      <c r="AD597" s="28"/>
      <c r="AE597" s="28"/>
      <c r="AF597" s="3"/>
      <c r="AG597" s="7"/>
      <c r="AH597" s="7"/>
      <c r="AI597" s="3" t="s">
        <v>107</v>
      </c>
      <c r="AJ597" s="7" t="s">
        <v>60</v>
      </c>
      <c r="AK597" s="3"/>
      <c r="AL597" cm="1">
        <f t="array" ref="AL597">IF(getColor(V597) = 16777215, 0, 1)</f>
        <v>1</v>
      </c>
    </row>
    <row r="598" spans="1:38">
      <c r="A598" s="1">
        <v>597</v>
      </c>
      <c r="B598" s="3" t="s">
        <v>27</v>
      </c>
      <c r="C598" s="7" t="s">
        <v>308</v>
      </c>
      <c r="D598" s="7" t="s">
        <v>197</v>
      </c>
      <c r="E598" s="8">
        <v>55.786077777777777</v>
      </c>
      <c r="F598" s="8">
        <v>-133.48746666666668</v>
      </c>
      <c r="G598" s="9" t="s">
        <v>30</v>
      </c>
      <c r="H598" s="3" t="s">
        <v>31</v>
      </c>
      <c r="I598" s="3" t="s">
        <v>31</v>
      </c>
      <c r="J598" s="3" t="s">
        <v>31</v>
      </c>
      <c r="K598" s="7" t="s">
        <v>52</v>
      </c>
      <c r="L598" s="9">
        <v>9</v>
      </c>
      <c r="M598" s="9">
        <v>0</v>
      </c>
      <c r="N598" s="9">
        <f t="shared" si="52"/>
        <v>9</v>
      </c>
      <c r="O598" s="9"/>
      <c r="P598" s="9"/>
      <c r="Q598" s="25"/>
      <c r="R598" s="11">
        <v>0</v>
      </c>
      <c r="S598" s="1">
        <v>0.15</v>
      </c>
      <c r="T598" s="1">
        <f t="shared" si="53"/>
        <v>0.15</v>
      </c>
      <c r="U598" s="12">
        <v>0</v>
      </c>
      <c r="V598" s="13">
        <v>24.64</v>
      </c>
      <c r="W598" s="14">
        <f t="shared" si="54"/>
        <v>3326.3999999999996</v>
      </c>
      <c r="X598" s="18"/>
      <c r="Y598" s="14">
        <f t="shared" si="55"/>
        <v>3326.3999999999996</v>
      </c>
      <c r="Z598" s="3"/>
      <c r="AA598" s="3"/>
      <c r="AB598" s="5"/>
      <c r="AC598" s="5"/>
      <c r="AD598" s="32"/>
      <c r="AE598" s="32"/>
      <c r="AF598" s="3"/>
      <c r="AG598" s="7"/>
      <c r="AH598" s="7"/>
      <c r="AI598" s="3" t="s">
        <v>107</v>
      </c>
      <c r="AJ598" s="7" t="s">
        <v>76</v>
      </c>
      <c r="AK598" s="3"/>
      <c r="AL598" cm="1">
        <f t="array" ref="AL598">IF(getColor(V598) = 16777215, 0, 1)</f>
        <v>0</v>
      </c>
    </row>
    <row r="599" spans="1:38">
      <c r="A599" s="1">
        <v>598</v>
      </c>
      <c r="B599" s="3" t="s">
        <v>27</v>
      </c>
      <c r="C599" s="7" t="s">
        <v>308</v>
      </c>
      <c r="D599" s="7" t="s">
        <v>197</v>
      </c>
      <c r="E599" s="8">
        <v>55.786077777777777</v>
      </c>
      <c r="F599" s="8">
        <v>-133.48746666666668</v>
      </c>
      <c r="G599" s="9" t="s">
        <v>30</v>
      </c>
      <c r="H599" s="3" t="s">
        <v>31</v>
      </c>
      <c r="I599" s="3" t="s">
        <v>31</v>
      </c>
      <c r="J599" s="3" t="s">
        <v>31</v>
      </c>
      <c r="K599" s="7" t="s">
        <v>77</v>
      </c>
      <c r="L599" s="9">
        <v>0</v>
      </c>
      <c r="M599" s="9">
        <v>5</v>
      </c>
      <c r="N599" s="9">
        <f t="shared" si="52"/>
        <v>5</v>
      </c>
      <c r="O599" s="9"/>
      <c r="P599" s="9"/>
      <c r="Q599" s="25"/>
      <c r="R599" s="11">
        <v>0</v>
      </c>
      <c r="S599" s="1">
        <v>0.86</v>
      </c>
      <c r="T599" s="1">
        <f t="shared" si="53"/>
        <v>0.86</v>
      </c>
      <c r="U599" s="12">
        <v>9</v>
      </c>
      <c r="V599" s="13">
        <v>9.8800000000000008</v>
      </c>
      <c r="W599" s="14">
        <f t="shared" si="54"/>
        <v>3866.0440000000008</v>
      </c>
      <c r="X599" s="18"/>
      <c r="Y599" s="14">
        <f t="shared" si="55"/>
        <v>3866.0440000000008</v>
      </c>
      <c r="Z599" s="3"/>
      <c r="AA599" s="3"/>
      <c r="AB599" s="5"/>
      <c r="AC599" s="1"/>
      <c r="AD599" s="28"/>
      <c r="AE599" s="28"/>
      <c r="AF599" s="3"/>
      <c r="AG599" s="7"/>
      <c r="AH599" s="7"/>
      <c r="AI599" s="3" t="s">
        <v>107</v>
      </c>
      <c r="AJ599" s="7" t="s">
        <v>78</v>
      </c>
      <c r="AK599" s="3"/>
      <c r="AL599" cm="1">
        <f t="array" ref="AL599">IF(getColor(V599) = 16777215, 0, 1)</f>
        <v>0</v>
      </c>
    </row>
    <row r="600" spans="1:38">
      <c r="A600" s="1">
        <v>599</v>
      </c>
      <c r="B600" s="3" t="s">
        <v>27</v>
      </c>
      <c r="C600" s="7" t="s">
        <v>308</v>
      </c>
      <c r="D600" s="7" t="s">
        <v>197</v>
      </c>
      <c r="E600" s="8">
        <v>55.786077777777777</v>
      </c>
      <c r="F600" s="8">
        <v>-133.48746666666668</v>
      </c>
      <c r="G600" s="9" t="s">
        <v>30</v>
      </c>
      <c r="H600" s="3" t="s">
        <v>31</v>
      </c>
      <c r="I600" s="3" t="s">
        <v>31</v>
      </c>
      <c r="J600" s="3" t="s">
        <v>31</v>
      </c>
      <c r="K600" s="7" t="s">
        <v>69</v>
      </c>
      <c r="L600" s="9">
        <v>5</v>
      </c>
      <c r="M600" s="9">
        <v>20</v>
      </c>
      <c r="N600" s="9">
        <f t="shared" si="52"/>
        <v>15</v>
      </c>
      <c r="O600" s="9"/>
      <c r="P600" s="9"/>
      <c r="Q600" s="25"/>
      <c r="R600" s="11">
        <v>0</v>
      </c>
      <c r="S600" s="1">
        <v>1.17</v>
      </c>
      <c r="T600" s="1">
        <f t="shared" si="53"/>
        <v>1.17</v>
      </c>
      <c r="U600" s="12">
        <v>13</v>
      </c>
      <c r="V600" s="13">
        <v>4.8600000000000003</v>
      </c>
      <c r="W600" s="14">
        <f t="shared" si="54"/>
        <v>7420.4910000000009</v>
      </c>
      <c r="X600" s="18"/>
      <c r="Y600" s="14">
        <f t="shared" si="55"/>
        <v>7420.4910000000009</v>
      </c>
      <c r="Z600" s="3"/>
      <c r="AA600" s="3"/>
      <c r="AB600" s="5"/>
      <c r="AC600" s="1"/>
      <c r="AD600" s="28"/>
      <c r="AE600" s="28"/>
      <c r="AF600" s="3"/>
      <c r="AG600" s="7"/>
      <c r="AH600" s="7"/>
      <c r="AI600" s="3" t="s">
        <v>107</v>
      </c>
      <c r="AJ600" s="7" t="s">
        <v>70</v>
      </c>
      <c r="AK600" s="3"/>
      <c r="AL600" cm="1">
        <f t="array" ref="AL600">IF(getColor(V600) = 16777215, 0, 1)</f>
        <v>0</v>
      </c>
    </row>
    <row r="601" spans="1:38">
      <c r="A601" s="1">
        <v>600</v>
      </c>
      <c r="B601" s="3" t="s">
        <v>27</v>
      </c>
      <c r="C601" s="7" t="s">
        <v>308</v>
      </c>
      <c r="D601" s="7" t="s">
        <v>197</v>
      </c>
      <c r="E601" s="8">
        <v>55.786077777777777</v>
      </c>
      <c r="F601" s="8">
        <v>-133.48746666666668</v>
      </c>
      <c r="G601" s="9" t="s">
        <v>30</v>
      </c>
      <c r="H601" s="3" t="s">
        <v>31</v>
      </c>
      <c r="I601" s="3" t="s">
        <v>31</v>
      </c>
      <c r="J601" s="3" t="s">
        <v>31</v>
      </c>
      <c r="K601" s="7" t="s">
        <v>71</v>
      </c>
      <c r="L601" s="9">
        <v>20</v>
      </c>
      <c r="M601" s="9">
        <v>61</v>
      </c>
      <c r="N601" s="9">
        <f t="shared" si="52"/>
        <v>41</v>
      </c>
      <c r="O601" s="9"/>
      <c r="P601" s="9"/>
      <c r="Q601" s="25"/>
      <c r="R601" s="11">
        <v>0</v>
      </c>
      <c r="S601" s="1">
        <v>1.17</v>
      </c>
      <c r="T601" s="1">
        <f t="shared" si="53"/>
        <v>1.17</v>
      </c>
      <c r="U601" s="12">
        <v>11</v>
      </c>
      <c r="V601" s="13">
        <v>3.34</v>
      </c>
      <c r="W601" s="14">
        <f t="shared" si="54"/>
        <v>14259.5622</v>
      </c>
      <c r="X601" s="18"/>
      <c r="Y601" s="14">
        <f t="shared" si="55"/>
        <v>14259.5622</v>
      </c>
      <c r="Z601" s="3"/>
      <c r="AA601" s="3"/>
      <c r="AB601" s="5"/>
      <c r="AC601" s="1"/>
      <c r="AD601" s="28"/>
      <c r="AE601" s="28"/>
      <c r="AF601" s="3"/>
      <c r="AG601" s="7"/>
      <c r="AH601" s="7"/>
      <c r="AI601" s="3" t="s">
        <v>107</v>
      </c>
      <c r="AJ601" s="7" t="s">
        <v>72</v>
      </c>
      <c r="AK601" s="3"/>
      <c r="AL601" cm="1">
        <f t="array" ref="AL601">IF(getColor(V601) = 16777215, 0, 1)</f>
        <v>0</v>
      </c>
    </row>
    <row r="602" spans="1:38">
      <c r="A602" s="1">
        <v>601</v>
      </c>
      <c r="B602" s="3" t="s">
        <v>27</v>
      </c>
      <c r="C602" s="7" t="s">
        <v>308</v>
      </c>
      <c r="D602" s="7" t="s">
        <v>197</v>
      </c>
      <c r="E602" s="8">
        <v>55.786077777777777</v>
      </c>
      <c r="F602" s="8">
        <v>-133.48746666666668</v>
      </c>
      <c r="G602" s="9" t="s">
        <v>30</v>
      </c>
      <c r="H602" s="3" t="s">
        <v>31</v>
      </c>
      <c r="I602" s="3" t="s">
        <v>31</v>
      </c>
      <c r="J602" s="3" t="s">
        <v>31</v>
      </c>
      <c r="K602" s="7" t="s">
        <v>79</v>
      </c>
      <c r="L602" s="9">
        <v>61</v>
      </c>
      <c r="M602" s="9">
        <v>114</v>
      </c>
      <c r="N602" s="9">
        <f t="shared" si="52"/>
        <v>53</v>
      </c>
      <c r="O602" s="9"/>
      <c r="P602" s="9"/>
      <c r="Q602" s="25"/>
      <c r="R602" s="11">
        <v>0</v>
      </c>
      <c r="S602" s="1">
        <v>1.71</v>
      </c>
      <c r="T602" s="1">
        <f t="shared" si="53"/>
        <v>1.71</v>
      </c>
      <c r="U602" s="12">
        <v>11</v>
      </c>
      <c r="V602" s="13">
        <v>3.43</v>
      </c>
      <c r="W602" s="14">
        <f t="shared" si="54"/>
        <v>27666.6201</v>
      </c>
      <c r="X602" s="18"/>
      <c r="Y602" s="14">
        <f>IF(L602&gt;-100,W602-W602*(ABS(M602)-100)/(ABS(M602)-ABS(L602)),0)</f>
        <v>20358.456299999998</v>
      </c>
      <c r="Z602" s="3"/>
      <c r="AA602" s="3"/>
      <c r="AB602" s="5"/>
      <c r="AC602" s="1"/>
      <c r="AD602" s="28"/>
      <c r="AE602" s="28"/>
      <c r="AF602" s="3"/>
      <c r="AG602" s="7"/>
      <c r="AH602" s="7"/>
      <c r="AI602" s="3" t="s">
        <v>107</v>
      </c>
      <c r="AJ602" s="7" t="s">
        <v>79</v>
      </c>
      <c r="AK602" s="3"/>
      <c r="AL602" cm="1">
        <f t="array" ref="AL602">IF(getColor(V602) = 16777215, 0, 1)</f>
        <v>0</v>
      </c>
    </row>
    <row r="603" spans="1:38">
      <c r="A603" s="1">
        <v>602</v>
      </c>
      <c r="B603" s="3" t="s">
        <v>27</v>
      </c>
      <c r="C603" s="7" t="s">
        <v>309</v>
      </c>
      <c r="D603" s="7" t="s">
        <v>302</v>
      </c>
      <c r="E603" s="8">
        <v>55.804166666666667</v>
      </c>
      <c r="F603" s="8">
        <v>-133.2833</v>
      </c>
      <c r="G603" s="9" t="s">
        <v>30</v>
      </c>
      <c r="H603" s="3" t="s">
        <v>31</v>
      </c>
      <c r="I603" s="3" t="s">
        <v>31</v>
      </c>
      <c r="J603" s="3" t="s">
        <v>31</v>
      </c>
      <c r="K603" s="7" t="s">
        <v>310</v>
      </c>
      <c r="L603" s="9">
        <v>8</v>
      </c>
      <c r="M603" s="9">
        <v>0</v>
      </c>
      <c r="N603" s="9">
        <f t="shared" si="52"/>
        <v>8</v>
      </c>
      <c r="O603" s="29">
        <f>M607</f>
        <v>168</v>
      </c>
      <c r="P603" s="29">
        <f>L603</f>
        <v>8</v>
      </c>
      <c r="Q603" s="29">
        <f>P603+O603</f>
        <v>176</v>
      </c>
      <c r="R603" s="11">
        <v>0</v>
      </c>
      <c r="S603" s="1">
        <v>0.12</v>
      </c>
      <c r="T603" s="1">
        <f t="shared" si="53"/>
        <v>0.12</v>
      </c>
      <c r="U603" s="12">
        <v>0</v>
      </c>
      <c r="V603" s="31">
        <v>40.639330342105275</v>
      </c>
      <c r="W603" s="14">
        <f t="shared" si="54"/>
        <v>3901.3757128421062</v>
      </c>
      <c r="X603" s="14">
        <f>SUM(W603:W607)</f>
        <v>82455.332483392122</v>
      </c>
      <c r="Y603" s="14">
        <f>T603*V603/100*N603*100*100*((100-U603)/100)</f>
        <v>3901.3757128421062</v>
      </c>
      <c r="Z603" s="15">
        <f>SUM(Y603:Y607)/10^6*10^4</f>
        <v>631.88122284792121</v>
      </c>
      <c r="AA603" s="16">
        <v>60.056319797664003</v>
      </c>
      <c r="AB603" s="5"/>
      <c r="AC603" s="1"/>
      <c r="AD603" s="28"/>
      <c r="AE603" s="28"/>
      <c r="AF603" s="3"/>
      <c r="AG603" s="7"/>
      <c r="AH603" s="7"/>
      <c r="AI603" s="3" t="s">
        <v>75</v>
      </c>
      <c r="AJ603" s="7" t="s">
        <v>311</v>
      </c>
      <c r="AK603" s="3"/>
      <c r="AL603" cm="1">
        <f t="array" ref="AL603">IF(getColor(V603) = 16777215, 0, 1)</f>
        <v>1</v>
      </c>
    </row>
    <row r="604" spans="1:38">
      <c r="A604" s="1">
        <v>603</v>
      </c>
      <c r="B604" s="3" t="s">
        <v>27</v>
      </c>
      <c r="C604" s="7" t="s">
        <v>309</v>
      </c>
      <c r="D604" s="7" t="s">
        <v>302</v>
      </c>
      <c r="E604" s="8">
        <v>55.804166666666667</v>
      </c>
      <c r="F604" s="8">
        <v>-133.2833</v>
      </c>
      <c r="G604" s="9" t="s">
        <v>30</v>
      </c>
      <c r="H604" s="3" t="s">
        <v>31</v>
      </c>
      <c r="I604" s="3" t="s">
        <v>31</v>
      </c>
      <c r="J604" s="3" t="s">
        <v>31</v>
      </c>
      <c r="K604" s="7" t="s">
        <v>149</v>
      </c>
      <c r="L604" s="9">
        <v>0</v>
      </c>
      <c r="M604" s="9">
        <v>8</v>
      </c>
      <c r="N604" s="9">
        <f t="shared" si="52"/>
        <v>8</v>
      </c>
      <c r="O604" s="9"/>
      <c r="P604" s="9"/>
      <c r="Q604" s="25"/>
      <c r="R604" s="11">
        <v>0</v>
      </c>
      <c r="S604" s="1">
        <v>1.31</v>
      </c>
      <c r="T604" s="1">
        <f t="shared" si="53"/>
        <v>1.31</v>
      </c>
      <c r="U604" s="12">
        <v>2</v>
      </c>
      <c r="V604" s="13">
        <v>16.123850000000001</v>
      </c>
      <c r="W604" s="14">
        <f t="shared" si="54"/>
        <v>16559.838904000004</v>
      </c>
      <c r="X604" s="25"/>
      <c r="Y604" s="14">
        <f>T604*V604/100*N604*100*100*((100-U604)/100)</f>
        <v>16559.838904000004</v>
      </c>
      <c r="Z604" s="3"/>
      <c r="AA604" s="3"/>
      <c r="AB604" s="5"/>
      <c r="AC604" s="5"/>
      <c r="AD604" s="32"/>
      <c r="AE604" s="28"/>
      <c r="AF604" s="3"/>
      <c r="AG604" s="7"/>
      <c r="AH604" s="7"/>
      <c r="AI604" s="3" t="s">
        <v>75</v>
      </c>
      <c r="AJ604" s="7" t="s">
        <v>150</v>
      </c>
      <c r="AK604" s="3"/>
      <c r="AL604" cm="1">
        <f t="array" ref="AL604">IF(getColor(V604) = 16777215, 0, 1)</f>
        <v>0</v>
      </c>
    </row>
    <row r="605" spans="1:38">
      <c r="A605" s="1">
        <v>604</v>
      </c>
      <c r="B605" s="3" t="s">
        <v>27</v>
      </c>
      <c r="C605" s="7" t="s">
        <v>309</v>
      </c>
      <c r="D605" s="7" t="s">
        <v>302</v>
      </c>
      <c r="E605" s="8">
        <v>55.804166666666667</v>
      </c>
      <c r="F605" s="8">
        <v>-133.2833</v>
      </c>
      <c r="G605" s="9" t="s">
        <v>30</v>
      </c>
      <c r="H605" s="3" t="s">
        <v>31</v>
      </c>
      <c r="I605" s="3" t="s">
        <v>31</v>
      </c>
      <c r="J605" s="3" t="s">
        <v>31</v>
      </c>
      <c r="K605" s="7" t="s">
        <v>69</v>
      </c>
      <c r="L605" s="9">
        <v>8</v>
      </c>
      <c r="M605" s="9">
        <v>43</v>
      </c>
      <c r="N605" s="9">
        <f t="shared" si="52"/>
        <v>35</v>
      </c>
      <c r="O605" s="9"/>
      <c r="P605" s="9"/>
      <c r="Q605" s="25"/>
      <c r="R605" s="11">
        <v>0</v>
      </c>
      <c r="S605" s="1">
        <v>1.46</v>
      </c>
      <c r="T605" s="1">
        <f t="shared" si="53"/>
        <v>1.46</v>
      </c>
      <c r="U605" s="12">
        <v>8</v>
      </c>
      <c r="V605" s="13">
        <v>4.9047400000000003</v>
      </c>
      <c r="W605" s="14">
        <f t="shared" si="54"/>
        <v>23058.163688000004</v>
      </c>
      <c r="X605" s="25"/>
      <c r="Y605" s="14">
        <f>T605*V605/100*N605*100*100*((100-U605)/100)</f>
        <v>23058.163688000004</v>
      </c>
      <c r="Z605" s="3"/>
      <c r="AA605" s="3"/>
      <c r="AB605" s="5"/>
      <c r="AC605" s="1"/>
      <c r="AD605" s="28"/>
      <c r="AE605" s="28"/>
      <c r="AF605" s="3"/>
      <c r="AG605" s="7"/>
      <c r="AH605" s="7"/>
      <c r="AI605" s="3" t="s">
        <v>75</v>
      </c>
      <c r="AJ605" s="7" t="s">
        <v>70</v>
      </c>
      <c r="AK605" s="3"/>
      <c r="AL605" cm="1">
        <f t="array" ref="AL605">IF(getColor(V605) = 16777215, 0, 1)</f>
        <v>0</v>
      </c>
    </row>
    <row r="606" spans="1:38">
      <c r="A606" s="1">
        <v>605</v>
      </c>
      <c r="B606" s="3" t="s">
        <v>27</v>
      </c>
      <c r="C606" s="7" t="s">
        <v>309</v>
      </c>
      <c r="D606" s="7" t="s">
        <v>302</v>
      </c>
      <c r="E606" s="8">
        <v>55.804166666666667</v>
      </c>
      <c r="F606" s="8">
        <v>-133.2833</v>
      </c>
      <c r="G606" s="9" t="s">
        <v>30</v>
      </c>
      <c r="H606" s="3" t="s">
        <v>31</v>
      </c>
      <c r="I606" s="3" t="s">
        <v>31</v>
      </c>
      <c r="J606" s="3" t="s">
        <v>31</v>
      </c>
      <c r="K606" s="7" t="s">
        <v>71</v>
      </c>
      <c r="L606" s="9">
        <v>43</v>
      </c>
      <c r="M606" s="9">
        <v>69</v>
      </c>
      <c r="N606" s="9">
        <f t="shared" si="52"/>
        <v>26</v>
      </c>
      <c r="O606" s="9"/>
      <c r="P606" s="9"/>
      <c r="Q606" s="25"/>
      <c r="R606" s="11">
        <v>0</v>
      </c>
      <c r="S606" s="1">
        <v>1.46</v>
      </c>
      <c r="T606" s="1">
        <f t="shared" si="53"/>
        <v>1.46</v>
      </c>
      <c r="U606" s="12">
        <v>10</v>
      </c>
      <c r="V606" s="13">
        <v>3.18615</v>
      </c>
      <c r="W606" s="14">
        <f t="shared" si="54"/>
        <v>10885.16286</v>
      </c>
      <c r="X606" s="25"/>
      <c r="Y606" s="14">
        <f>T606*V606/100*N606*100*100*((100-U606)/100)</f>
        <v>10885.16286</v>
      </c>
      <c r="Z606" s="3"/>
      <c r="AA606" s="3"/>
      <c r="AB606" s="5"/>
      <c r="AC606" s="1"/>
      <c r="AD606" s="28"/>
      <c r="AE606" s="28"/>
      <c r="AF606" s="3"/>
      <c r="AG606" s="7"/>
      <c r="AH606" s="7"/>
      <c r="AI606" s="3" t="s">
        <v>75</v>
      </c>
      <c r="AJ606" s="7" t="s">
        <v>72</v>
      </c>
      <c r="AK606" s="3"/>
      <c r="AL606" cm="1">
        <f t="array" ref="AL606">IF(getColor(V606) = 16777215, 0, 1)</f>
        <v>0</v>
      </c>
    </row>
    <row r="607" spans="1:38">
      <c r="A607" s="1">
        <v>606</v>
      </c>
      <c r="B607" s="3" t="s">
        <v>27</v>
      </c>
      <c r="C607" s="7" t="s">
        <v>309</v>
      </c>
      <c r="D607" s="7" t="s">
        <v>302</v>
      </c>
      <c r="E607" s="8">
        <v>55.804166666666667</v>
      </c>
      <c r="F607" s="8">
        <v>-133.2833</v>
      </c>
      <c r="G607" s="9" t="s">
        <v>30</v>
      </c>
      <c r="H607" s="3" t="s">
        <v>31</v>
      </c>
      <c r="I607" s="3" t="s">
        <v>31</v>
      </c>
      <c r="J607" s="3" t="s">
        <v>31</v>
      </c>
      <c r="K607" s="7" t="s">
        <v>79</v>
      </c>
      <c r="L607" s="9">
        <v>69</v>
      </c>
      <c r="M607" s="9">
        <v>168</v>
      </c>
      <c r="N607" s="9">
        <f t="shared" si="52"/>
        <v>99</v>
      </c>
      <c r="O607" s="9"/>
      <c r="P607" s="9"/>
      <c r="Q607" s="25"/>
      <c r="R607" s="11">
        <v>0</v>
      </c>
      <c r="S607" s="1">
        <v>1.19</v>
      </c>
      <c r="T607" s="1">
        <f t="shared" si="53"/>
        <v>1.19</v>
      </c>
      <c r="U607" s="12">
        <v>9</v>
      </c>
      <c r="V607" s="13">
        <v>2.6165050000000001</v>
      </c>
      <c r="W607" s="14">
        <f t="shared" si="54"/>
        <v>28050.79131855</v>
      </c>
      <c r="X607" s="25"/>
      <c r="Y607" s="14">
        <f>IF(L607&gt;-100,W607-W607*(ABS(M607)-100)/(ABS(M607)-ABS(L607)),0)</f>
        <v>8783.5811199499985</v>
      </c>
      <c r="Z607" s="3"/>
      <c r="AA607" s="3"/>
      <c r="AB607" s="5"/>
      <c r="AC607" s="1"/>
      <c r="AD607" s="28"/>
      <c r="AE607" s="28"/>
      <c r="AF607" s="3"/>
      <c r="AG607" s="7"/>
      <c r="AH607" s="7"/>
      <c r="AI607" s="3" t="s">
        <v>75</v>
      </c>
      <c r="AJ607" s="7" t="s">
        <v>79</v>
      </c>
      <c r="AK607" s="3"/>
      <c r="AL607" cm="1">
        <f t="array" ref="AL607">IF(getColor(V607) = 16777215, 0, 1)</f>
        <v>0</v>
      </c>
    </row>
    <row r="608" spans="1:38">
      <c r="A608" s="1">
        <v>607</v>
      </c>
      <c r="B608" s="3" t="s">
        <v>27</v>
      </c>
      <c r="C608" s="7" t="s">
        <v>312</v>
      </c>
      <c r="D608" s="7" t="s">
        <v>302</v>
      </c>
      <c r="E608" s="8">
        <v>55.8</v>
      </c>
      <c r="F608" s="8">
        <v>-133.2833</v>
      </c>
      <c r="G608" s="9" t="s">
        <v>30</v>
      </c>
      <c r="H608" s="3" t="s">
        <v>31</v>
      </c>
      <c r="I608" s="3" t="s">
        <v>31</v>
      </c>
      <c r="J608" s="3" t="s">
        <v>31</v>
      </c>
      <c r="K608" s="7" t="s">
        <v>49</v>
      </c>
      <c r="L608" s="9">
        <v>30</v>
      </c>
      <c r="M608" s="9">
        <v>18</v>
      </c>
      <c r="N608" s="9">
        <f t="shared" si="52"/>
        <v>12</v>
      </c>
      <c r="O608" s="29">
        <f>M612</f>
        <v>99</v>
      </c>
      <c r="P608" s="29">
        <f>L608</f>
        <v>30</v>
      </c>
      <c r="Q608" s="29">
        <f>P608+O608</f>
        <v>129</v>
      </c>
      <c r="R608" s="11">
        <v>0</v>
      </c>
      <c r="S608" s="1">
        <v>0.08</v>
      </c>
      <c r="T608" s="1">
        <f t="shared" si="53"/>
        <v>0.08</v>
      </c>
      <c r="U608" s="12">
        <v>0</v>
      </c>
      <c r="V608" s="13">
        <v>53.054225000000002</v>
      </c>
      <c r="W608" s="14">
        <f t="shared" si="54"/>
        <v>5093.2056000000002</v>
      </c>
      <c r="X608" s="14">
        <f>SUM(W608:W612)</f>
        <v>115434.23033419999</v>
      </c>
      <c r="Y608" s="14">
        <f t="shared" ref="Y608:Y654" si="56">T608*V608/100*N608*100*100*((100-U608)/100)</f>
        <v>5093.2056000000002</v>
      </c>
      <c r="Z608" s="15">
        <f>SUM(Y608:Y612)/10^6*10^4</f>
        <v>1154.3423033419999</v>
      </c>
      <c r="AA608" s="16">
        <v>144.33999769649225</v>
      </c>
      <c r="AB608" s="5"/>
      <c r="AC608" s="1"/>
      <c r="AD608" s="28"/>
      <c r="AE608" s="28"/>
      <c r="AF608" s="3"/>
      <c r="AG608" s="7"/>
      <c r="AH608" s="7"/>
      <c r="AI608" s="3" t="s">
        <v>75</v>
      </c>
      <c r="AJ608" s="7" t="s">
        <v>60</v>
      </c>
      <c r="AK608" s="3"/>
      <c r="AL608" cm="1">
        <f t="array" ref="AL608">IF(getColor(V608) = 16777215, 0, 1)</f>
        <v>0</v>
      </c>
    </row>
    <row r="609" spans="1:38">
      <c r="A609" s="1">
        <v>608</v>
      </c>
      <c r="B609" s="3" t="s">
        <v>27</v>
      </c>
      <c r="C609" s="7" t="s">
        <v>312</v>
      </c>
      <c r="D609" s="7" t="s">
        <v>302</v>
      </c>
      <c r="E609" s="8">
        <v>55.8</v>
      </c>
      <c r="F609" s="8">
        <v>-133.2833</v>
      </c>
      <c r="G609" s="9" t="s">
        <v>30</v>
      </c>
      <c r="H609" s="3" t="s">
        <v>31</v>
      </c>
      <c r="I609" s="3" t="s">
        <v>31</v>
      </c>
      <c r="J609" s="3" t="s">
        <v>31</v>
      </c>
      <c r="K609" s="7" t="s">
        <v>52</v>
      </c>
      <c r="L609" s="9">
        <v>18</v>
      </c>
      <c r="M609" s="9">
        <v>0</v>
      </c>
      <c r="N609" s="9">
        <f t="shared" si="52"/>
        <v>18</v>
      </c>
      <c r="O609" s="9"/>
      <c r="P609" s="9"/>
      <c r="Q609" s="25"/>
      <c r="R609" s="11">
        <v>0</v>
      </c>
      <c r="S609" s="1">
        <v>0.15</v>
      </c>
      <c r="T609" s="1">
        <f t="shared" si="53"/>
        <v>0.15</v>
      </c>
      <c r="U609" s="12">
        <v>0</v>
      </c>
      <c r="V609" s="13">
        <v>55.004534999999997</v>
      </c>
      <c r="W609" s="14">
        <f t="shared" si="54"/>
        <v>14851.224449999998</v>
      </c>
      <c r="X609" s="25"/>
      <c r="Y609" s="14">
        <f t="shared" si="56"/>
        <v>14851.224449999998</v>
      </c>
      <c r="Z609" s="3"/>
      <c r="AA609" s="3"/>
      <c r="AB609" s="5"/>
      <c r="AC609" s="5"/>
      <c r="AD609" s="28"/>
      <c r="AE609" s="28"/>
      <c r="AF609" s="3"/>
      <c r="AG609" s="7"/>
      <c r="AH609" s="7"/>
      <c r="AI609" s="3" t="s">
        <v>75</v>
      </c>
      <c r="AJ609" s="7" t="s">
        <v>76</v>
      </c>
      <c r="AK609" s="3"/>
      <c r="AL609" cm="1">
        <f t="array" ref="AL609">IF(getColor(V609) = 16777215, 0, 1)</f>
        <v>0</v>
      </c>
    </row>
    <row r="610" spans="1:38">
      <c r="A610" s="1">
        <v>609</v>
      </c>
      <c r="B610" s="3" t="s">
        <v>27</v>
      </c>
      <c r="C610" s="7" t="s">
        <v>312</v>
      </c>
      <c r="D610" s="7" t="s">
        <v>302</v>
      </c>
      <c r="E610" s="8">
        <v>55.8</v>
      </c>
      <c r="F610" s="8">
        <v>-133.2833</v>
      </c>
      <c r="G610" s="9" t="s">
        <v>30</v>
      </c>
      <c r="H610" s="3" t="s">
        <v>31</v>
      </c>
      <c r="I610" s="3" t="s">
        <v>31</v>
      </c>
      <c r="J610" s="3" t="s">
        <v>31</v>
      </c>
      <c r="K610" s="7" t="s">
        <v>47</v>
      </c>
      <c r="L610" s="9">
        <v>0</v>
      </c>
      <c r="M610" s="9">
        <v>7</v>
      </c>
      <c r="N610" s="9">
        <f t="shared" si="52"/>
        <v>7</v>
      </c>
      <c r="O610" s="9"/>
      <c r="P610" s="9"/>
      <c r="Q610" s="25"/>
      <c r="R610" s="11">
        <v>0</v>
      </c>
      <c r="S610" s="1">
        <v>1.31</v>
      </c>
      <c r="T610" s="1">
        <f t="shared" si="53"/>
        <v>1.31</v>
      </c>
      <c r="U610" s="12">
        <v>2</v>
      </c>
      <c r="V610" s="13">
        <v>4.0164800000000005</v>
      </c>
      <c r="W610" s="14">
        <f t="shared" si="54"/>
        <v>3609.4499168000011</v>
      </c>
      <c r="X610" s="25"/>
      <c r="Y610" s="14">
        <f t="shared" si="56"/>
        <v>3609.4499168000011</v>
      </c>
      <c r="Z610" s="3"/>
      <c r="AA610" s="3"/>
      <c r="AB610" s="5"/>
      <c r="AC610" s="1"/>
      <c r="AD610" s="28"/>
      <c r="AE610" s="28"/>
      <c r="AF610" s="3"/>
      <c r="AG610" s="7"/>
      <c r="AH610" s="7"/>
      <c r="AI610" s="3" t="s">
        <v>75</v>
      </c>
      <c r="AJ610" s="7" t="s">
        <v>47</v>
      </c>
      <c r="AK610" s="3"/>
      <c r="AL610" cm="1">
        <f t="array" ref="AL610">IF(getColor(V610) = 16777215, 0, 1)</f>
        <v>0</v>
      </c>
    </row>
    <row r="611" spans="1:38">
      <c r="A611" s="1">
        <v>610</v>
      </c>
      <c r="B611" s="3" t="s">
        <v>27</v>
      </c>
      <c r="C611" s="7" t="s">
        <v>312</v>
      </c>
      <c r="D611" s="7" t="s">
        <v>302</v>
      </c>
      <c r="E611" s="8">
        <v>55.8</v>
      </c>
      <c r="F611" s="8">
        <v>-133.2833</v>
      </c>
      <c r="G611" s="9" t="s">
        <v>30</v>
      </c>
      <c r="H611" s="3" t="s">
        <v>31</v>
      </c>
      <c r="I611" s="3" t="s">
        <v>31</v>
      </c>
      <c r="J611" s="3" t="s">
        <v>31</v>
      </c>
      <c r="K611" s="7" t="s">
        <v>77</v>
      </c>
      <c r="L611" s="9">
        <v>7</v>
      </c>
      <c r="M611" s="9">
        <v>41</v>
      </c>
      <c r="N611" s="9">
        <f t="shared" si="52"/>
        <v>34</v>
      </c>
      <c r="O611" s="9"/>
      <c r="P611" s="9"/>
      <c r="Q611" s="25"/>
      <c r="R611" s="11">
        <v>0</v>
      </c>
      <c r="S611" s="1">
        <v>1.19</v>
      </c>
      <c r="T611" s="1">
        <f t="shared" si="53"/>
        <v>1.19</v>
      </c>
      <c r="U611" s="12">
        <v>1</v>
      </c>
      <c r="V611" s="13">
        <v>8.9984599999999997</v>
      </c>
      <c r="W611" s="14">
        <f t="shared" si="54"/>
        <v>36043.691468399993</v>
      </c>
      <c r="X611" s="25"/>
      <c r="Y611" s="14">
        <f t="shared" si="56"/>
        <v>36043.691468399993</v>
      </c>
      <c r="Z611" s="3"/>
      <c r="AA611" s="3"/>
      <c r="AB611" s="5"/>
      <c r="AC611" s="1"/>
      <c r="AD611" s="28"/>
      <c r="AE611" s="28"/>
      <c r="AF611" s="3"/>
      <c r="AG611" s="7"/>
      <c r="AH611" s="7"/>
      <c r="AI611" s="3" t="s">
        <v>75</v>
      </c>
      <c r="AJ611" s="7" t="s">
        <v>78</v>
      </c>
      <c r="AK611" s="3"/>
      <c r="AL611" cm="1">
        <f t="array" ref="AL611">IF(getColor(V611) = 16777215, 0, 1)</f>
        <v>0</v>
      </c>
    </row>
    <row r="612" spans="1:38">
      <c r="A612" s="1">
        <v>611</v>
      </c>
      <c r="B612" s="3" t="s">
        <v>27</v>
      </c>
      <c r="C612" s="7" t="s">
        <v>312</v>
      </c>
      <c r="D612" s="7" t="s">
        <v>302</v>
      </c>
      <c r="E612" s="8">
        <v>55.8</v>
      </c>
      <c r="F612" s="8">
        <v>-133.2833</v>
      </c>
      <c r="G612" s="9" t="s">
        <v>30</v>
      </c>
      <c r="H612" s="3" t="s">
        <v>31</v>
      </c>
      <c r="I612" s="3" t="s">
        <v>31</v>
      </c>
      <c r="J612" s="3" t="s">
        <v>31</v>
      </c>
      <c r="K612" s="7" t="s">
        <v>79</v>
      </c>
      <c r="L612" s="9">
        <v>41</v>
      </c>
      <c r="M612" s="9">
        <v>99</v>
      </c>
      <c r="N612" s="9">
        <f t="shared" si="52"/>
        <v>58</v>
      </c>
      <c r="O612" s="9"/>
      <c r="P612" s="9"/>
      <c r="Q612" s="25"/>
      <c r="R612" s="11">
        <v>0</v>
      </c>
      <c r="S612" s="1">
        <v>1.19</v>
      </c>
      <c r="T612" s="1">
        <f t="shared" si="53"/>
        <v>1.19</v>
      </c>
      <c r="U612" s="12">
        <v>2</v>
      </c>
      <c r="V612" s="13">
        <v>8.2550250000000016</v>
      </c>
      <c r="W612" s="14">
        <f t="shared" si="54"/>
        <v>55836.658899000009</v>
      </c>
      <c r="X612" s="25"/>
      <c r="Y612" s="14">
        <f t="shared" si="56"/>
        <v>55836.658899000009</v>
      </c>
      <c r="Z612" s="3"/>
      <c r="AA612" s="3"/>
      <c r="AB612" s="5"/>
      <c r="AC612" s="1"/>
      <c r="AD612" s="28"/>
      <c r="AE612" s="28"/>
      <c r="AF612" s="3"/>
      <c r="AG612" s="7"/>
      <c r="AH612" s="7"/>
      <c r="AI612" s="3" t="s">
        <v>75</v>
      </c>
      <c r="AJ612" s="7" t="s">
        <v>79</v>
      </c>
      <c r="AK612" s="3"/>
      <c r="AL612" cm="1">
        <f t="array" ref="AL612">IF(getColor(V612) = 16777215, 0, 1)</f>
        <v>0</v>
      </c>
    </row>
    <row r="613" spans="1:38">
      <c r="A613" s="1">
        <v>612</v>
      </c>
      <c r="B613" s="3" t="s">
        <v>27</v>
      </c>
      <c r="C613" s="7" t="s">
        <v>313</v>
      </c>
      <c r="D613" s="7" t="s">
        <v>164</v>
      </c>
      <c r="E613" s="8">
        <v>55.801388888888887</v>
      </c>
      <c r="F613" s="8">
        <v>-133.30000000000001</v>
      </c>
      <c r="G613" s="9" t="s">
        <v>30</v>
      </c>
      <c r="H613" s="3" t="s">
        <v>31</v>
      </c>
      <c r="I613" s="3" t="s">
        <v>31</v>
      </c>
      <c r="J613" s="3" t="s">
        <v>31</v>
      </c>
      <c r="K613" s="7" t="s">
        <v>51</v>
      </c>
      <c r="L613" s="9">
        <v>22</v>
      </c>
      <c r="M613" s="9">
        <v>12</v>
      </c>
      <c r="N613" s="9">
        <f t="shared" si="52"/>
        <v>10</v>
      </c>
      <c r="O613" s="29">
        <f>M616</f>
        <v>37</v>
      </c>
      <c r="P613" s="29">
        <f>L613</f>
        <v>22</v>
      </c>
      <c r="Q613" s="29">
        <f>P613+O613</f>
        <v>59</v>
      </c>
      <c r="R613" s="11">
        <v>0</v>
      </c>
      <c r="S613" s="1">
        <v>0.12</v>
      </c>
      <c r="T613" s="1">
        <f t="shared" si="53"/>
        <v>0.12</v>
      </c>
      <c r="U613" s="12">
        <v>0</v>
      </c>
      <c r="V613" s="13">
        <v>50.524614999999997</v>
      </c>
      <c r="W613" s="14">
        <f t="shared" si="54"/>
        <v>6062.9537999999993</v>
      </c>
      <c r="X613" s="14">
        <f>SUM(W613:W616)</f>
        <v>25977.668077199996</v>
      </c>
      <c r="Y613" s="14">
        <f t="shared" si="56"/>
        <v>6062.9537999999993</v>
      </c>
      <c r="Z613" s="15">
        <f>SUM(Y613:Y616)/10^6*10^4</f>
        <v>259.77668077199996</v>
      </c>
      <c r="AA613" s="16">
        <v>76.375600983834644</v>
      </c>
      <c r="AB613" s="5"/>
      <c r="AC613" s="1"/>
      <c r="AD613" s="28"/>
      <c r="AE613" s="28"/>
      <c r="AF613" s="3"/>
      <c r="AG613" s="7"/>
      <c r="AH613" s="7"/>
      <c r="AI613" s="3" t="s">
        <v>107</v>
      </c>
      <c r="AJ613" s="7" t="s">
        <v>67</v>
      </c>
      <c r="AK613" s="3"/>
      <c r="AL613" cm="1">
        <f t="array" ref="AL613">IF(getColor(V613) = 16777215, 0, 1)</f>
        <v>0</v>
      </c>
    </row>
    <row r="614" spans="1:38">
      <c r="A614" s="1">
        <v>613</v>
      </c>
      <c r="B614" s="3" t="s">
        <v>27</v>
      </c>
      <c r="C614" s="7" t="s">
        <v>313</v>
      </c>
      <c r="D614" s="7" t="s">
        <v>164</v>
      </c>
      <c r="E614" s="8">
        <v>55.801388888888887</v>
      </c>
      <c r="F614" s="8">
        <v>-133.30000000000001</v>
      </c>
      <c r="G614" s="9" t="s">
        <v>30</v>
      </c>
      <c r="H614" s="3" t="s">
        <v>31</v>
      </c>
      <c r="I614" s="3" t="s">
        <v>31</v>
      </c>
      <c r="J614" s="3" t="s">
        <v>31</v>
      </c>
      <c r="K614" s="7" t="s">
        <v>52</v>
      </c>
      <c r="L614" s="9">
        <v>12</v>
      </c>
      <c r="M614" s="9">
        <v>0</v>
      </c>
      <c r="N614" s="9">
        <f t="shared" si="52"/>
        <v>12</v>
      </c>
      <c r="O614" s="9"/>
      <c r="P614" s="9"/>
      <c r="Q614" s="25"/>
      <c r="R614" s="11">
        <v>0</v>
      </c>
      <c r="S614" s="1">
        <v>0.15</v>
      </c>
      <c r="T614" s="1">
        <f t="shared" si="53"/>
        <v>0.15</v>
      </c>
      <c r="U614" s="12">
        <v>0</v>
      </c>
      <c r="V614" s="13">
        <v>46.064005000000002</v>
      </c>
      <c r="W614" s="14">
        <f t="shared" si="54"/>
        <v>8291.5208999999995</v>
      </c>
      <c r="X614" s="25"/>
      <c r="Y614" s="14">
        <f t="shared" si="56"/>
        <v>8291.5208999999995</v>
      </c>
      <c r="Z614" s="3"/>
      <c r="AA614" s="3"/>
      <c r="AB614" s="5"/>
      <c r="AC614" s="5"/>
      <c r="AD614" s="28"/>
      <c r="AE614" s="28"/>
      <c r="AF614" s="3"/>
      <c r="AG614" s="7"/>
      <c r="AH614" s="7"/>
      <c r="AI614" s="3" t="s">
        <v>107</v>
      </c>
      <c r="AJ614" s="7" t="s">
        <v>76</v>
      </c>
      <c r="AK614" s="3"/>
      <c r="AL614" cm="1">
        <f t="array" ref="AL614">IF(getColor(V614) = 16777215, 0, 1)</f>
        <v>0</v>
      </c>
    </row>
    <row r="615" spans="1:38">
      <c r="A615" s="1">
        <v>614</v>
      </c>
      <c r="B615" s="3" t="s">
        <v>27</v>
      </c>
      <c r="C615" s="7" t="s">
        <v>313</v>
      </c>
      <c r="D615" s="7" t="s">
        <v>164</v>
      </c>
      <c r="E615" s="8">
        <v>55.801388888888887</v>
      </c>
      <c r="F615" s="8">
        <v>-133.30000000000001</v>
      </c>
      <c r="G615" s="9" t="s">
        <v>30</v>
      </c>
      <c r="H615" s="3" t="s">
        <v>31</v>
      </c>
      <c r="I615" s="3" t="s">
        <v>31</v>
      </c>
      <c r="J615" s="3" t="s">
        <v>31</v>
      </c>
      <c r="K615" s="7" t="s">
        <v>47</v>
      </c>
      <c r="L615" s="9">
        <v>0</v>
      </c>
      <c r="M615" s="9">
        <v>8</v>
      </c>
      <c r="N615" s="9">
        <f t="shared" si="52"/>
        <v>8</v>
      </c>
      <c r="O615" s="9"/>
      <c r="P615" s="9"/>
      <c r="Q615" s="25"/>
      <c r="R615" s="11">
        <v>0</v>
      </c>
      <c r="S615" s="1">
        <v>0.93</v>
      </c>
      <c r="T615" s="1">
        <f t="shared" si="53"/>
        <v>0.93</v>
      </c>
      <c r="U615" s="12">
        <v>8</v>
      </c>
      <c r="V615" s="13">
        <v>2.4716800000000001</v>
      </c>
      <c r="W615" s="14">
        <f t="shared" si="54"/>
        <v>1691.8155264000002</v>
      </c>
      <c r="X615" s="25"/>
      <c r="Y615" s="14">
        <f t="shared" si="56"/>
        <v>1691.8155264000002</v>
      </c>
      <c r="Z615" s="3"/>
      <c r="AA615" s="3"/>
      <c r="AB615" s="5"/>
      <c r="AC615" s="1"/>
      <c r="AD615" s="28"/>
      <c r="AE615" s="28"/>
      <c r="AF615" s="3"/>
      <c r="AG615" s="7"/>
      <c r="AH615" s="7"/>
      <c r="AI615" s="3" t="s">
        <v>107</v>
      </c>
      <c r="AJ615" s="7" t="s">
        <v>47</v>
      </c>
      <c r="AK615" s="3"/>
      <c r="AL615" cm="1">
        <f t="array" ref="AL615">IF(getColor(V615) = 16777215, 0, 1)</f>
        <v>0</v>
      </c>
    </row>
    <row r="616" spans="1:38">
      <c r="A616" s="1">
        <v>615</v>
      </c>
      <c r="B616" s="3" t="s">
        <v>27</v>
      </c>
      <c r="C616" s="7" t="s">
        <v>313</v>
      </c>
      <c r="D616" s="7" t="s">
        <v>164</v>
      </c>
      <c r="E616" s="8">
        <v>55.801388888888887</v>
      </c>
      <c r="F616" s="8">
        <v>-133.30000000000001</v>
      </c>
      <c r="G616" s="9" t="s">
        <v>30</v>
      </c>
      <c r="H616" s="3" t="s">
        <v>31</v>
      </c>
      <c r="I616" s="3" t="s">
        <v>31</v>
      </c>
      <c r="J616" s="3" t="s">
        <v>31</v>
      </c>
      <c r="K616" s="7" t="s">
        <v>77</v>
      </c>
      <c r="L616" s="9">
        <v>8</v>
      </c>
      <c r="M616" s="9">
        <v>37</v>
      </c>
      <c r="N616" s="9">
        <f t="shared" si="52"/>
        <v>29</v>
      </c>
      <c r="O616" s="9"/>
      <c r="P616" s="9"/>
      <c r="Q616" s="25"/>
      <c r="R616" s="11">
        <v>0</v>
      </c>
      <c r="S616" s="1">
        <v>0.86</v>
      </c>
      <c r="T616" s="1">
        <f t="shared" si="53"/>
        <v>0.86</v>
      </c>
      <c r="U616" s="12">
        <v>16</v>
      </c>
      <c r="V616" s="13">
        <v>4.7406050000000004</v>
      </c>
      <c r="W616" s="14">
        <f t="shared" si="54"/>
        <v>9931.3778507999996</v>
      </c>
      <c r="X616" s="25"/>
      <c r="Y616" s="14">
        <f t="shared" si="56"/>
        <v>9931.3778507999996</v>
      </c>
      <c r="Z616" s="3"/>
      <c r="AA616" s="3"/>
      <c r="AB616" s="5"/>
      <c r="AC616" s="1"/>
      <c r="AD616" s="28"/>
      <c r="AE616" s="28"/>
      <c r="AF616" s="3"/>
      <c r="AG616" s="7"/>
      <c r="AH616" s="7"/>
      <c r="AI616" s="3" t="s">
        <v>107</v>
      </c>
      <c r="AJ616" s="7" t="s">
        <v>78</v>
      </c>
      <c r="AK616" s="3"/>
      <c r="AL616" cm="1">
        <f t="array" ref="AL616">IF(getColor(V616) = 16777215, 0, 1)</f>
        <v>0</v>
      </c>
    </row>
    <row r="617" spans="1:38">
      <c r="A617" s="1">
        <v>616</v>
      </c>
      <c r="B617" s="3" t="s">
        <v>27</v>
      </c>
      <c r="C617" s="7" t="s">
        <v>314</v>
      </c>
      <c r="D617" s="7" t="s">
        <v>255</v>
      </c>
      <c r="E617" s="8">
        <v>55.804166666666667</v>
      </c>
      <c r="F617" s="8">
        <v>-133.57909999999998</v>
      </c>
      <c r="G617" s="9" t="s">
        <v>30</v>
      </c>
      <c r="H617" s="3" t="s">
        <v>31</v>
      </c>
      <c r="I617" s="3" t="s">
        <v>31</v>
      </c>
      <c r="J617" s="3" t="s">
        <v>31</v>
      </c>
      <c r="K617" s="7" t="s">
        <v>52</v>
      </c>
      <c r="L617" s="9">
        <v>5</v>
      </c>
      <c r="M617" s="9">
        <v>0</v>
      </c>
      <c r="N617" s="9">
        <f t="shared" si="52"/>
        <v>5</v>
      </c>
      <c r="O617" s="29">
        <f>M620</f>
        <v>100</v>
      </c>
      <c r="P617" s="29">
        <f>L617</f>
        <v>5</v>
      </c>
      <c r="Q617" s="29">
        <f>P617+O617</f>
        <v>105</v>
      </c>
      <c r="R617" s="11">
        <v>0</v>
      </c>
      <c r="S617" s="1">
        <v>0.15</v>
      </c>
      <c r="T617" s="1">
        <f t="shared" si="53"/>
        <v>0.15</v>
      </c>
      <c r="U617" s="12">
        <v>0</v>
      </c>
      <c r="V617" s="13">
        <v>29.14</v>
      </c>
      <c r="W617" s="14">
        <f t="shared" si="54"/>
        <v>2185.5</v>
      </c>
      <c r="X617" s="14">
        <f>SUM(W617:W620)</f>
        <v>22380.298899999994</v>
      </c>
      <c r="Y617" s="14">
        <f t="shared" si="56"/>
        <v>2185.5</v>
      </c>
      <c r="Z617" s="15">
        <f>SUM(Y617:Y620)/10^6*10^4</f>
        <v>223.80298899999994</v>
      </c>
      <c r="AA617" s="16">
        <v>26.527342459623938</v>
      </c>
      <c r="AB617" s="5"/>
      <c r="AC617" s="1"/>
      <c r="AD617" s="28"/>
      <c r="AE617" s="28"/>
      <c r="AF617" s="3"/>
      <c r="AG617" s="7"/>
      <c r="AH617" s="7"/>
      <c r="AI617" s="3" t="s">
        <v>107</v>
      </c>
      <c r="AJ617" s="7" t="s">
        <v>76</v>
      </c>
      <c r="AK617" s="3"/>
      <c r="AL617" cm="1">
        <f t="array" ref="AL617">IF(getColor(V617) = 16777215, 0, 1)</f>
        <v>0</v>
      </c>
    </row>
    <row r="618" spans="1:38">
      <c r="A618" s="1">
        <v>617</v>
      </c>
      <c r="B618" s="3" t="s">
        <v>27</v>
      </c>
      <c r="C618" s="7" t="s">
        <v>314</v>
      </c>
      <c r="D618" s="7" t="s">
        <v>255</v>
      </c>
      <c r="E618" s="8">
        <v>55.804166666666667</v>
      </c>
      <c r="F618" s="8">
        <v>-133.57909999999998</v>
      </c>
      <c r="G618" s="9" t="s">
        <v>30</v>
      </c>
      <c r="H618" s="3" t="s">
        <v>31</v>
      </c>
      <c r="I618" s="3" t="s">
        <v>31</v>
      </c>
      <c r="J618" s="3" t="s">
        <v>31</v>
      </c>
      <c r="K618" s="7" t="s">
        <v>77</v>
      </c>
      <c r="L618" s="9">
        <v>0</v>
      </c>
      <c r="M618" s="9">
        <v>5</v>
      </c>
      <c r="N618" s="9">
        <f t="shared" si="52"/>
        <v>5</v>
      </c>
      <c r="O618" s="9"/>
      <c r="P618" s="9"/>
      <c r="Q618" s="25"/>
      <c r="R618" s="11">
        <v>0</v>
      </c>
      <c r="S618" s="1">
        <v>0.86</v>
      </c>
      <c r="T618" s="1">
        <f t="shared" si="53"/>
        <v>0.86</v>
      </c>
      <c r="U618" s="12">
        <v>36</v>
      </c>
      <c r="V618" s="13">
        <v>7.45</v>
      </c>
      <c r="W618" s="14">
        <f t="shared" si="54"/>
        <v>2050.2400000000002</v>
      </c>
      <c r="X618" s="18"/>
      <c r="Y618" s="14">
        <f t="shared" si="56"/>
        <v>2050.2400000000002</v>
      </c>
      <c r="Z618" s="3"/>
      <c r="AA618" s="3"/>
      <c r="AB618" s="5"/>
      <c r="AC618" s="5"/>
      <c r="AD618" s="28"/>
      <c r="AE618" s="28"/>
      <c r="AF618" s="3"/>
      <c r="AG618" s="7"/>
      <c r="AH618" s="7"/>
      <c r="AI618" s="3" t="s">
        <v>107</v>
      </c>
      <c r="AJ618" s="7" t="s">
        <v>78</v>
      </c>
      <c r="AK618" s="3"/>
      <c r="AL618" cm="1">
        <f t="array" ref="AL618">IF(getColor(V618) = 16777215, 0, 1)</f>
        <v>0</v>
      </c>
    </row>
    <row r="619" spans="1:38">
      <c r="A619" s="1">
        <v>618</v>
      </c>
      <c r="B619" s="3" t="s">
        <v>27</v>
      </c>
      <c r="C619" s="7" t="s">
        <v>314</v>
      </c>
      <c r="D619" s="7" t="s">
        <v>255</v>
      </c>
      <c r="E619" s="8">
        <v>55.804166666666667</v>
      </c>
      <c r="F619" s="8">
        <v>-133.57909999999998</v>
      </c>
      <c r="G619" s="9" t="s">
        <v>30</v>
      </c>
      <c r="H619" s="3" t="s">
        <v>31</v>
      </c>
      <c r="I619" s="3" t="s">
        <v>31</v>
      </c>
      <c r="J619" s="3" t="s">
        <v>31</v>
      </c>
      <c r="K619" s="7" t="s">
        <v>41</v>
      </c>
      <c r="L619" s="9">
        <v>5</v>
      </c>
      <c r="M619" s="9">
        <v>48</v>
      </c>
      <c r="N619" s="9">
        <f t="shared" si="52"/>
        <v>43</v>
      </c>
      <c r="O619" s="9"/>
      <c r="P619" s="9"/>
      <c r="Q619" s="25"/>
      <c r="R619" s="11">
        <v>0</v>
      </c>
      <c r="S619" s="1">
        <v>1.17</v>
      </c>
      <c r="T619" s="1">
        <f t="shared" si="53"/>
        <v>1.17</v>
      </c>
      <c r="U619" s="12">
        <v>49</v>
      </c>
      <c r="V619" s="13">
        <v>5.05</v>
      </c>
      <c r="W619" s="14">
        <f t="shared" si="54"/>
        <v>12957.340499999998</v>
      </c>
      <c r="X619" s="18"/>
      <c r="Y619" s="14">
        <f t="shared" si="56"/>
        <v>12957.340499999998</v>
      </c>
      <c r="Z619" s="3"/>
      <c r="AA619" s="3"/>
      <c r="AB619" s="5"/>
      <c r="AC619" s="1"/>
      <c r="AD619" s="28"/>
      <c r="AE619" s="28"/>
      <c r="AF619" s="3"/>
      <c r="AG619" s="7"/>
      <c r="AH619" s="7"/>
      <c r="AI619" s="3" t="s">
        <v>107</v>
      </c>
      <c r="AJ619" s="7" t="s">
        <v>61</v>
      </c>
      <c r="AK619" s="3"/>
      <c r="AL619" cm="1">
        <f t="array" ref="AL619">IF(getColor(V619) = 16777215, 0, 1)</f>
        <v>0</v>
      </c>
    </row>
    <row r="620" spans="1:38">
      <c r="A620" s="1">
        <v>619</v>
      </c>
      <c r="B620" s="3" t="s">
        <v>27</v>
      </c>
      <c r="C620" s="7" t="s">
        <v>314</v>
      </c>
      <c r="D620" s="7" t="s">
        <v>255</v>
      </c>
      <c r="E620" s="8">
        <v>55.804166666666667</v>
      </c>
      <c r="F620" s="8">
        <v>-133.57909999999998</v>
      </c>
      <c r="G620" s="9" t="s">
        <v>30</v>
      </c>
      <c r="H620" s="3" t="s">
        <v>31</v>
      </c>
      <c r="I620" s="3" t="s">
        <v>31</v>
      </c>
      <c r="J620" s="3" t="s">
        <v>31</v>
      </c>
      <c r="K620" s="7" t="s">
        <v>44</v>
      </c>
      <c r="L620" s="9">
        <v>48</v>
      </c>
      <c r="M620" s="9">
        <v>100</v>
      </c>
      <c r="N620" s="9">
        <f t="shared" si="52"/>
        <v>52</v>
      </c>
      <c r="O620" s="9"/>
      <c r="P620" s="9"/>
      <c r="Q620" s="25"/>
      <c r="R620" s="11">
        <v>0</v>
      </c>
      <c r="S620" s="1">
        <v>1.74</v>
      </c>
      <c r="T620" s="1">
        <f t="shared" si="53"/>
        <v>1.74</v>
      </c>
      <c r="U620" s="12">
        <v>79</v>
      </c>
      <c r="V620" s="13">
        <v>2.73</v>
      </c>
      <c r="W620" s="14">
        <f t="shared" si="54"/>
        <v>5187.2183999999988</v>
      </c>
      <c r="X620" s="18"/>
      <c r="Y620" s="14">
        <f t="shared" si="56"/>
        <v>5187.2183999999988</v>
      </c>
      <c r="Z620" s="3"/>
      <c r="AA620" s="3"/>
      <c r="AB620" s="5"/>
      <c r="AC620" s="1"/>
      <c r="AD620" s="28"/>
      <c r="AE620" s="28"/>
      <c r="AF620" s="3"/>
      <c r="AG620" s="7"/>
      <c r="AH620" s="7"/>
      <c r="AI620" s="3" t="s">
        <v>107</v>
      </c>
      <c r="AJ620" s="7" t="s">
        <v>44</v>
      </c>
      <c r="AK620" s="3"/>
      <c r="AL620" cm="1">
        <f t="array" ref="AL620">IF(getColor(V620) = 16777215, 0, 1)</f>
        <v>0</v>
      </c>
    </row>
    <row r="621" spans="1:38">
      <c r="A621" s="1">
        <v>620</v>
      </c>
      <c r="B621" s="3" t="s">
        <v>27</v>
      </c>
      <c r="C621" s="7" t="s">
        <v>315</v>
      </c>
      <c r="D621" s="7" t="s">
        <v>316</v>
      </c>
      <c r="E621" s="8">
        <v>55.802777777777777</v>
      </c>
      <c r="F621" s="8">
        <v>-133.58746666666667</v>
      </c>
      <c r="G621" s="9" t="s">
        <v>30</v>
      </c>
      <c r="H621" s="3" t="s">
        <v>31</v>
      </c>
      <c r="I621" s="3" t="s">
        <v>31</v>
      </c>
      <c r="J621" s="3" t="s">
        <v>31</v>
      </c>
      <c r="K621" s="7" t="s">
        <v>49</v>
      </c>
      <c r="L621" s="9">
        <v>3</v>
      </c>
      <c r="M621" s="9">
        <v>0</v>
      </c>
      <c r="N621" s="9">
        <f t="shared" si="52"/>
        <v>3</v>
      </c>
      <c r="O621" s="29">
        <f>M624</f>
        <v>33</v>
      </c>
      <c r="P621" s="29">
        <f>L621</f>
        <v>3</v>
      </c>
      <c r="Q621" s="29">
        <f>P621+O621</f>
        <v>36</v>
      </c>
      <c r="R621" s="11">
        <v>0</v>
      </c>
      <c r="S621" s="1">
        <v>0.08</v>
      </c>
      <c r="T621" s="1">
        <f t="shared" si="53"/>
        <v>0.08</v>
      </c>
      <c r="U621" s="12"/>
      <c r="V621" s="31">
        <v>36.66627891666667</v>
      </c>
      <c r="W621" s="14">
        <f t="shared" si="54"/>
        <v>879.99069400000019</v>
      </c>
      <c r="X621" s="14">
        <f>SUM(W621:W624)</f>
        <v>9457.665094</v>
      </c>
      <c r="Y621" s="14">
        <f t="shared" si="56"/>
        <v>879.99069400000019</v>
      </c>
      <c r="Z621" s="15">
        <f>SUM(Y621:Y624)/10^6*10^4</f>
        <v>94.576650939999993</v>
      </c>
      <c r="AA621" s="16">
        <v>12.149300355600822</v>
      </c>
      <c r="AB621" s="5"/>
      <c r="AC621" s="1"/>
      <c r="AD621" s="28"/>
      <c r="AE621" s="28"/>
      <c r="AF621" s="3"/>
      <c r="AG621" s="7"/>
      <c r="AH621" s="7"/>
      <c r="AI621" s="3" t="s">
        <v>59</v>
      </c>
      <c r="AJ621" s="7" t="s">
        <v>60</v>
      </c>
      <c r="AK621" s="3"/>
      <c r="AL621" cm="1">
        <f t="array" ref="AL621">IF(getColor(V621) = 16777215, 0, 1)</f>
        <v>1</v>
      </c>
    </row>
    <row r="622" spans="1:38">
      <c r="A622" s="1">
        <v>621</v>
      </c>
      <c r="B622" s="3" t="s">
        <v>27</v>
      </c>
      <c r="C622" s="7" t="s">
        <v>315</v>
      </c>
      <c r="D622" s="7" t="s">
        <v>316</v>
      </c>
      <c r="E622" s="8">
        <v>55.802777777777777</v>
      </c>
      <c r="F622" s="8">
        <v>-133.58746666666667</v>
      </c>
      <c r="G622" s="9" t="s">
        <v>30</v>
      </c>
      <c r="H622" s="3" t="s">
        <v>31</v>
      </c>
      <c r="I622" s="3" t="s">
        <v>31</v>
      </c>
      <c r="J622" s="3" t="s">
        <v>31</v>
      </c>
      <c r="K622" s="7" t="s">
        <v>101</v>
      </c>
      <c r="L622" s="9">
        <v>0</v>
      </c>
      <c r="M622" s="9">
        <v>10</v>
      </c>
      <c r="N622" s="9">
        <f t="shared" si="52"/>
        <v>10</v>
      </c>
      <c r="O622" s="9"/>
      <c r="P622" s="9"/>
      <c r="Q622" s="25"/>
      <c r="R622" s="11">
        <v>0</v>
      </c>
      <c r="S622" s="1">
        <v>0.86</v>
      </c>
      <c r="T622" s="1">
        <f t="shared" si="53"/>
        <v>0.86</v>
      </c>
      <c r="U622" s="12">
        <v>11</v>
      </c>
      <c r="V622" s="13">
        <v>5.0999999999999996</v>
      </c>
      <c r="W622" s="14">
        <f t="shared" si="54"/>
        <v>3903.5399999999986</v>
      </c>
      <c r="X622" s="18"/>
      <c r="Y622" s="14">
        <f t="shared" si="56"/>
        <v>3903.5399999999986</v>
      </c>
      <c r="Z622" s="3"/>
      <c r="AA622" s="3"/>
      <c r="AB622" s="5"/>
      <c r="AC622" s="5"/>
      <c r="AD622" s="32"/>
      <c r="AE622" s="32"/>
      <c r="AF622" s="3"/>
      <c r="AG622" s="7"/>
      <c r="AH622" s="7"/>
      <c r="AI622" s="3" t="s">
        <v>59</v>
      </c>
      <c r="AJ622" s="7" t="s">
        <v>102</v>
      </c>
      <c r="AK622" s="3"/>
      <c r="AL622" cm="1">
        <f t="array" ref="AL622">IF(getColor(V622) = 16777215, 0, 1)</f>
        <v>0</v>
      </c>
    </row>
    <row r="623" spans="1:38">
      <c r="A623" s="1">
        <v>622</v>
      </c>
      <c r="B623" s="3" t="s">
        <v>27</v>
      </c>
      <c r="C623" s="7" t="s">
        <v>315</v>
      </c>
      <c r="D623" s="7" t="s">
        <v>316</v>
      </c>
      <c r="E623" s="8">
        <v>55.802777777777777</v>
      </c>
      <c r="F623" s="8">
        <v>-133.58746666666667</v>
      </c>
      <c r="G623" s="9" t="s">
        <v>30</v>
      </c>
      <c r="H623" s="3" t="s">
        <v>31</v>
      </c>
      <c r="I623" s="3" t="s">
        <v>31</v>
      </c>
      <c r="J623" s="3" t="s">
        <v>31</v>
      </c>
      <c r="K623" s="7" t="s">
        <v>103</v>
      </c>
      <c r="L623" s="9">
        <v>10</v>
      </c>
      <c r="M623" s="9">
        <v>23</v>
      </c>
      <c r="N623" s="9">
        <f t="shared" si="52"/>
        <v>13</v>
      </c>
      <c r="O623" s="9"/>
      <c r="P623" s="9"/>
      <c r="Q623" s="25"/>
      <c r="R623" s="11">
        <v>0</v>
      </c>
      <c r="S623" s="1">
        <v>0.86</v>
      </c>
      <c r="T623" s="1">
        <f t="shared" si="53"/>
        <v>0.86</v>
      </c>
      <c r="U623" s="12">
        <v>22</v>
      </c>
      <c r="V623" s="13">
        <v>5.36</v>
      </c>
      <c r="W623" s="14">
        <f t="shared" si="54"/>
        <v>4674.1344000000008</v>
      </c>
      <c r="X623" s="18"/>
      <c r="Y623" s="14">
        <f t="shared" si="56"/>
        <v>4674.1344000000008</v>
      </c>
      <c r="Z623" s="3"/>
      <c r="AA623" s="3"/>
      <c r="AB623" s="5"/>
      <c r="AC623" s="1"/>
      <c r="AD623" s="28"/>
      <c r="AE623" s="28"/>
      <c r="AF623" s="3"/>
      <c r="AG623" s="7"/>
      <c r="AH623" s="7"/>
      <c r="AI623" s="3" t="s">
        <v>59</v>
      </c>
      <c r="AJ623" s="7" t="s">
        <v>104</v>
      </c>
      <c r="AK623" s="3"/>
      <c r="AL623" cm="1">
        <f t="array" ref="AL623">IF(getColor(V623) = 16777215, 0, 1)</f>
        <v>0</v>
      </c>
    </row>
    <row r="624" spans="1:38">
      <c r="A624" s="1">
        <v>623</v>
      </c>
      <c r="B624" s="3" t="s">
        <v>27</v>
      </c>
      <c r="C624" s="7" t="s">
        <v>315</v>
      </c>
      <c r="D624" s="7" t="s">
        <v>316</v>
      </c>
      <c r="E624" s="8">
        <v>55.802777777777777</v>
      </c>
      <c r="F624" s="8">
        <v>-133.58746666666667</v>
      </c>
      <c r="G624" s="9" t="s">
        <v>30</v>
      </c>
      <c r="H624" s="3" t="s">
        <v>31</v>
      </c>
      <c r="I624" s="3" t="s">
        <v>31</v>
      </c>
      <c r="J624" s="3" t="s">
        <v>31</v>
      </c>
      <c r="K624" s="7" t="s">
        <v>253</v>
      </c>
      <c r="L624" s="9">
        <v>23</v>
      </c>
      <c r="M624" s="9">
        <v>33</v>
      </c>
      <c r="N624" s="9">
        <f t="shared" si="52"/>
        <v>10</v>
      </c>
      <c r="O624" s="9"/>
      <c r="P624" s="9"/>
      <c r="Q624" s="25"/>
      <c r="R624" s="11">
        <v>0</v>
      </c>
      <c r="S624" s="1">
        <v>0</v>
      </c>
      <c r="T624" s="1">
        <f t="shared" si="53"/>
        <v>0</v>
      </c>
      <c r="U624" s="12"/>
      <c r="V624" s="35">
        <v>0</v>
      </c>
      <c r="W624" s="14">
        <f t="shared" si="54"/>
        <v>0</v>
      </c>
      <c r="X624" s="18"/>
      <c r="Y624" s="14">
        <f t="shared" si="56"/>
        <v>0</v>
      </c>
      <c r="Z624" s="3"/>
      <c r="AA624" s="3"/>
      <c r="AB624" s="5"/>
      <c r="AC624" s="1"/>
      <c r="AD624" s="28"/>
      <c r="AE624" s="28"/>
      <c r="AF624" s="3"/>
      <c r="AG624" s="7"/>
      <c r="AH624" s="7"/>
      <c r="AI624" s="3" t="s">
        <v>59</v>
      </c>
      <c r="AJ624" s="7" t="s">
        <v>253</v>
      </c>
      <c r="AK624" s="3"/>
      <c r="AL624" cm="1">
        <f t="array" ref="AL624">IF(getColor(V624) = 16777215, 0, 1)</f>
        <v>1</v>
      </c>
    </row>
    <row r="625" spans="1:38">
      <c r="A625" s="1">
        <v>624</v>
      </c>
      <c r="B625" s="3" t="s">
        <v>27</v>
      </c>
      <c r="C625" s="7" t="s">
        <v>317</v>
      </c>
      <c r="D625" s="7" t="s">
        <v>166</v>
      </c>
      <c r="E625" s="8">
        <v>55.830488888888887</v>
      </c>
      <c r="F625" s="8">
        <v>-133.32493333333332</v>
      </c>
      <c r="G625" s="9" t="s">
        <v>30</v>
      </c>
      <c r="H625" s="3" t="s">
        <v>31</v>
      </c>
      <c r="I625" s="3" t="s">
        <v>31</v>
      </c>
      <c r="J625" s="3" t="s">
        <v>31</v>
      </c>
      <c r="K625" s="7" t="s">
        <v>52</v>
      </c>
      <c r="L625" s="9">
        <v>3</v>
      </c>
      <c r="M625" s="9">
        <v>0</v>
      </c>
      <c r="N625" s="9">
        <f t="shared" si="52"/>
        <v>3</v>
      </c>
      <c r="O625" s="29">
        <f>M629</f>
        <v>66</v>
      </c>
      <c r="P625" s="29">
        <f>L625</f>
        <v>3</v>
      </c>
      <c r="Q625" s="29">
        <f>P625+O625</f>
        <v>69</v>
      </c>
      <c r="R625" s="11">
        <v>0</v>
      </c>
      <c r="S625" s="1">
        <v>0.15</v>
      </c>
      <c r="T625" s="1">
        <f t="shared" si="53"/>
        <v>0.15</v>
      </c>
      <c r="U625" s="12">
        <v>0</v>
      </c>
      <c r="V625" s="13">
        <v>48.950850000000003</v>
      </c>
      <c r="W625" s="14">
        <f t="shared" si="54"/>
        <v>2202.7882500000001</v>
      </c>
      <c r="X625" s="14">
        <f>SUM(W625:W629)</f>
        <v>83034.639225899999</v>
      </c>
      <c r="Y625" s="14">
        <f t="shared" si="56"/>
        <v>2202.7882500000001</v>
      </c>
      <c r="Z625" s="15">
        <f>SUM(Y625:Y629)/10^6*10^4</f>
        <v>830.34639225900003</v>
      </c>
      <c r="AA625" s="16">
        <v>56.753434410897583</v>
      </c>
      <c r="AB625" s="5"/>
      <c r="AC625" s="1"/>
      <c r="AD625" s="32"/>
      <c r="AE625" s="32"/>
      <c r="AF625" s="3"/>
      <c r="AG625" s="7"/>
      <c r="AH625" s="7"/>
      <c r="AI625" s="3" t="s">
        <v>107</v>
      </c>
      <c r="AJ625" s="7" t="s">
        <v>76</v>
      </c>
      <c r="AK625" s="3"/>
      <c r="AL625" cm="1">
        <f t="array" ref="AL625">IF(getColor(V625) = 16777215, 0, 1)</f>
        <v>0</v>
      </c>
    </row>
    <row r="626" spans="1:38">
      <c r="A626" s="1">
        <v>625</v>
      </c>
      <c r="B626" s="3" t="s">
        <v>27</v>
      </c>
      <c r="C626" s="7" t="s">
        <v>317</v>
      </c>
      <c r="D626" s="7" t="s">
        <v>166</v>
      </c>
      <c r="E626" s="8">
        <v>55.830488888888887</v>
      </c>
      <c r="F626" s="8">
        <v>-133.32493333333332</v>
      </c>
      <c r="G626" s="9" t="s">
        <v>30</v>
      </c>
      <c r="H626" s="3" t="s">
        <v>31</v>
      </c>
      <c r="I626" s="3" t="s">
        <v>31</v>
      </c>
      <c r="J626" s="3" t="s">
        <v>31</v>
      </c>
      <c r="K626" s="7" t="s">
        <v>41</v>
      </c>
      <c r="L626" s="9">
        <v>0</v>
      </c>
      <c r="M626" s="9">
        <v>22</v>
      </c>
      <c r="N626" s="9">
        <f t="shared" si="52"/>
        <v>22</v>
      </c>
      <c r="O626" s="9"/>
      <c r="P626" s="9"/>
      <c r="Q626" s="25"/>
      <c r="R626" s="11">
        <v>0</v>
      </c>
      <c r="S626" s="1">
        <v>1.17</v>
      </c>
      <c r="T626" s="1">
        <f t="shared" si="53"/>
        <v>1.17</v>
      </c>
      <c r="U626" s="12">
        <v>4</v>
      </c>
      <c r="V626" s="13">
        <v>6.4205750000000004</v>
      </c>
      <c r="W626" s="14">
        <f t="shared" si="54"/>
        <v>15865.497647999997</v>
      </c>
      <c r="X626" s="25"/>
      <c r="Y626" s="14">
        <f t="shared" si="56"/>
        <v>15865.497647999997</v>
      </c>
      <c r="Z626" s="3"/>
      <c r="AA626" s="3"/>
      <c r="AB626" s="5"/>
      <c r="AC626" s="5"/>
      <c r="AD626" s="28"/>
      <c r="AE626" s="28"/>
      <c r="AF626" s="3"/>
      <c r="AG626" s="7"/>
      <c r="AH626" s="7"/>
      <c r="AI626" s="3" t="s">
        <v>107</v>
      </c>
      <c r="AJ626" s="7" t="s">
        <v>61</v>
      </c>
      <c r="AK626" s="3"/>
      <c r="AL626" cm="1">
        <f t="array" ref="AL626">IF(getColor(V626) = 16777215, 0, 1)</f>
        <v>0</v>
      </c>
    </row>
    <row r="627" spans="1:38">
      <c r="A627" s="1">
        <v>626</v>
      </c>
      <c r="B627" s="3" t="s">
        <v>27</v>
      </c>
      <c r="C627" s="7" t="s">
        <v>317</v>
      </c>
      <c r="D627" s="7" t="s">
        <v>166</v>
      </c>
      <c r="E627" s="8">
        <v>55.830488888888887</v>
      </c>
      <c r="F627" s="8">
        <v>-133.32493333333332</v>
      </c>
      <c r="G627" s="9" t="s">
        <v>30</v>
      </c>
      <c r="H627" s="3" t="s">
        <v>31</v>
      </c>
      <c r="I627" s="3" t="s">
        <v>31</v>
      </c>
      <c r="J627" s="3" t="s">
        <v>31</v>
      </c>
      <c r="K627" s="7" t="s">
        <v>77</v>
      </c>
      <c r="L627" s="9">
        <v>22</v>
      </c>
      <c r="M627" s="9">
        <v>40</v>
      </c>
      <c r="N627" s="9">
        <f t="shared" si="52"/>
        <v>18</v>
      </c>
      <c r="O627" s="9"/>
      <c r="P627" s="9"/>
      <c r="Q627" s="25"/>
      <c r="R627" s="11">
        <v>0</v>
      </c>
      <c r="S627" s="1">
        <v>0.86</v>
      </c>
      <c r="T627" s="1">
        <f t="shared" si="53"/>
        <v>0.86</v>
      </c>
      <c r="U627" s="12">
        <v>5</v>
      </c>
      <c r="V627" s="13">
        <v>6.0923049999999996</v>
      </c>
      <c r="W627" s="14">
        <f t="shared" si="54"/>
        <v>8959.3437329999997</v>
      </c>
      <c r="X627" s="25"/>
      <c r="Y627" s="14">
        <f t="shared" si="56"/>
        <v>8959.3437329999997</v>
      </c>
      <c r="Z627" s="3"/>
      <c r="AA627" s="3"/>
      <c r="AB627" s="5"/>
      <c r="AC627" s="1"/>
      <c r="AD627" s="28"/>
      <c r="AE627" s="28"/>
      <c r="AF627" s="3"/>
      <c r="AG627" s="7"/>
      <c r="AH627" s="7"/>
      <c r="AI627" s="3" t="s">
        <v>107</v>
      </c>
      <c r="AJ627" s="7" t="s">
        <v>78</v>
      </c>
      <c r="AK627" s="3"/>
      <c r="AL627" cm="1">
        <f t="array" ref="AL627">IF(getColor(V627) = 16777215, 0, 1)</f>
        <v>0</v>
      </c>
    </row>
    <row r="628" spans="1:38">
      <c r="A628" s="1">
        <v>627</v>
      </c>
      <c r="B628" s="3" t="s">
        <v>27</v>
      </c>
      <c r="C628" s="7" t="s">
        <v>317</v>
      </c>
      <c r="D628" s="7" t="s">
        <v>166</v>
      </c>
      <c r="E628" s="8">
        <v>55.830488888888887</v>
      </c>
      <c r="F628" s="8">
        <v>-133.32493333333332</v>
      </c>
      <c r="G628" s="9" t="s">
        <v>30</v>
      </c>
      <c r="H628" s="3" t="s">
        <v>31</v>
      </c>
      <c r="I628" s="3" t="s">
        <v>31</v>
      </c>
      <c r="J628" s="3" t="s">
        <v>31</v>
      </c>
      <c r="K628" s="7" t="s">
        <v>68</v>
      </c>
      <c r="L628" s="9">
        <v>40</v>
      </c>
      <c r="M628" s="9">
        <v>61</v>
      </c>
      <c r="N628" s="9">
        <f t="shared" si="52"/>
        <v>21</v>
      </c>
      <c r="O628" s="9"/>
      <c r="P628" s="9"/>
      <c r="Q628" s="25"/>
      <c r="R628" s="11">
        <v>0</v>
      </c>
      <c r="S628" s="1">
        <v>1.71</v>
      </c>
      <c r="T628" s="1">
        <f t="shared" si="53"/>
        <v>1.71</v>
      </c>
      <c r="U628" s="12">
        <v>22</v>
      </c>
      <c r="V628" s="13">
        <v>19.995505000000001</v>
      </c>
      <c r="W628" s="14">
        <f t="shared" si="54"/>
        <v>56007.00959490001</v>
      </c>
      <c r="X628" s="25"/>
      <c r="Y628" s="14">
        <f t="shared" si="56"/>
        <v>56007.00959490001</v>
      </c>
      <c r="Z628" s="3"/>
      <c r="AA628" s="3"/>
      <c r="AB628" s="5"/>
      <c r="AC628" s="1"/>
      <c r="AD628" s="28"/>
      <c r="AE628" s="28"/>
      <c r="AF628" s="3"/>
      <c r="AG628" s="7"/>
      <c r="AH628" s="7"/>
      <c r="AI628" s="3" t="s">
        <v>107</v>
      </c>
      <c r="AJ628" s="7" t="s">
        <v>68</v>
      </c>
      <c r="AK628" s="3"/>
      <c r="AL628" cm="1">
        <f t="array" ref="AL628">IF(getColor(V628) = 16777215, 0, 1)</f>
        <v>0</v>
      </c>
    </row>
    <row r="629" spans="1:38">
      <c r="A629" s="1">
        <v>628</v>
      </c>
      <c r="B629" s="3" t="s">
        <v>27</v>
      </c>
      <c r="C629" s="7" t="s">
        <v>317</v>
      </c>
      <c r="D629" s="7" t="s">
        <v>166</v>
      </c>
      <c r="E629" s="8">
        <v>55.830488888888887</v>
      </c>
      <c r="F629" s="8">
        <v>-133.32493333333332</v>
      </c>
      <c r="G629" s="9" t="s">
        <v>30</v>
      </c>
      <c r="H629" s="3" t="s">
        <v>31</v>
      </c>
      <c r="I629" s="3" t="s">
        <v>31</v>
      </c>
      <c r="J629" s="3" t="s">
        <v>31</v>
      </c>
      <c r="K629" s="7" t="s">
        <v>253</v>
      </c>
      <c r="L629" s="9">
        <v>61</v>
      </c>
      <c r="M629" s="9">
        <v>66</v>
      </c>
      <c r="N629" s="9">
        <f t="shared" si="52"/>
        <v>5</v>
      </c>
      <c r="O629" s="9"/>
      <c r="P629" s="9"/>
      <c r="Q629" s="25"/>
      <c r="R629" s="11">
        <v>0</v>
      </c>
      <c r="S629" s="1">
        <v>0</v>
      </c>
      <c r="T629" s="1">
        <f t="shared" si="53"/>
        <v>0</v>
      </c>
      <c r="U629" s="12"/>
      <c r="V629" s="35">
        <v>0</v>
      </c>
      <c r="W629" s="14">
        <f t="shared" si="54"/>
        <v>0</v>
      </c>
      <c r="X629" s="25"/>
      <c r="Y629" s="14">
        <f t="shared" si="56"/>
        <v>0</v>
      </c>
      <c r="Z629" s="3"/>
      <c r="AA629" s="3"/>
      <c r="AB629" s="5"/>
      <c r="AC629" s="1"/>
      <c r="AD629" s="28"/>
      <c r="AE629" s="28"/>
      <c r="AF629" s="3"/>
      <c r="AG629" s="7"/>
      <c r="AH629" s="7"/>
      <c r="AI629" s="3" t="s">
        <v>107</v>
      </c>
      <c r="AJ629" s="7" t="s">
        <v>253</v>
      </c>
      <c r="AK629" s="3"/>
      <c r="AL629" cm="1">
        <f t="array" ref="AL629">IF(getColor(V629) = 16777215, 0, 1)</f>
        <v>1</v>
      </c>
    </row>
    <row r="630" spans="1:38">
      <c r="A630" s="1">
        <v>629</v>
      </c>
      <c r="B630" s="3" t="s">
        <v>27</v>
      </c>
      <c r="C630" s="7" t="s">
        <v>318</v>
      </c>
      <c r="D630" s="7" t="s">
        <v>319</v>
      </c>
      <c r="E630" s="8">
        <v>55.816600000000001</v>
      </c>
      <c r="F630" s="8">
        <v>-133.58746666666667</v>
      </c>
      <c r="G630" s="9" t="s">
        <v>30</v>
      </c>
      <c r="H630" s="3" t="s">
        <v>31</v>
      </c>
      <c r="I630" s="3" t="s">
        <v>31</v>
      </c>
      <c r="J630" s="3" t="s">
        <v>31</v>
      </c>
      <c r="K630" s="7" t="s">
        <v>49</v>
      </c>
      <c r="L630" s="9">
        <v>18</v>
      </c>
      <c r="M630" s="9">
        <v>13</v>
      </c>
      <c r="N630" s="9">
        <f t="shared" si="52"/>
        <v>5</v>
      </c>
      <c r="O630" s="29">
        <f>M636</f>
        <v>71</v>
      </c>
      <c r="P630" s="29">
        <f>L630</f>
        <v>18</v>
      </c>
      <c r="Q630" s="29">
        <f>P630+O630</f>
        <v>89</v>
      </c>
      <c r="R630" s="11">
        <v>0</v>
      </c>
      <c r="S630" s="1">
        <v>0.08</v>
      </c>
      <c r="T630" s="1">
        <f t="shared" si="53"/>
        <v>0.08</v>
      </c>
      <c r="U630" s="12"/>
      <c r="V630" s="31">
        <v>36.66627891666667</v>
      </c>
      <c r="W630" s="14">
        <f t="shared" si="54"/>
        <v>1466.6511566666668</v>
      </c>
      <c r="X630" s="14">
        <f>SUM(W630:W636)</f>
        <v>28680.968086666671</v>
      </c>
      <c r="Y630" s="14">
        <f t="shared" si="56"/>
        <v>1466.6511566666668</v>
      </c>
      <c r="Z630" s="15">
        <f>SUM(Y630:Y636)/10^6*10^4</f>
        <v>286.80968086666672</v>
      </c>
      <c r="AA630" s="16">
        <v>65.184922958507684</v>
      </c>
      <c r="AB630" s="5"/>
      <c r="AC630" s="1"/>
      <c r="AD630" s="28"/>
      <c r="AE630" s="28"/>
      <c r="AF630" s="3"/>
      <c r="AG630" s="7"/>
      <c r="AH630" s="7"/>
      <c r="AI630" s="3" t="s">
        <v>59</v>
      </c>
      <c r="AJ630" s="7" t="s">
        <v>60</v>
      </c>
      <c r="AK630" s="3"/>
      <c r="AL630" cm="1">
        <f t="array" ref="AL630">IF(getColor(V630) = 16777215, 0, 1)</f>
        <v>1</v>
      </c>
    </row>
    <row r="631" spans="1:38">
      <c r="A631" s="1">
        <v>630</v>
      </c>
      <c r="B631" s="3" t="s">
        <v>27</v>
      </c>
      <c r="C631" s="7" t="s">
        <v>318</v>
      </c>
      <c r="D631" s="7" t="s">
        <v>319</v>
      </c>
      <c r="E631" s="8">
        <v>55.816600000000001</v>
      </c>
      <c r="F631" s="8">
        <v>-133.58746666666667</v>
      </c>
      <c r="G631" s="9" t="s">
        <v>30</v>
      </c>
      <c r="H631" s="3" t="s">
        <v>31</v>
      </c>
      <c r="I631" s="3" t="s">
        <v>31</v>
      </c>
      <c r="J631" s="3" t="s">
        <v>31</v>
      </c>
      <c r="K631" s="7" t="s">
        <v>52</v>
      </c>
      <c r="L631" s="9">
        <v>13</v>
      </c>
      <c r="M631" s="9">
        <v>0</v>
      </c>
      <c r="N631" s="9">
        <f t="shared" si="52"/>
        <v>13</v>
      </c>
      <c r="O631" s="9"/>
      <c r="P631" s="9"/>
      <c r="Q631" s="25"/>
      <c r="R631" s="11">
        <v>0</v>
      </c>
      <c r="S631" s="1">
        <v>0.15</v>
      </c>
      <c r="T631" s="1">
        <f t="shared" si="53"/>
        <v>0.15</v>
      </c>
      <c r="U631" s="12"/>
      <c r="V631" s="31">
        <v>36.068238615384637</v>
      </c>
      <c r="W631" s="14">
        <f t="shared" si="54"/>
        <v>7033.3065300000044</v>
      </c>
      <c r="X631" s="25"/>
      <c r="Y631" s="14">
        <f t="shared" si="56"/>
        <v>7033.3065300000044</v>
      </c>
      <c r="Z631" s="3"/>
      <c r="AA631" s="3"/>
      <c r="AB631" s="5"/>
      <c r="AC631" s="5"/>
      <c r="AD631" s="32"/>
      <c r="AE631" s="32"/>
      <c r="AF631" s="3"/>
      <c r="AG631" s="7"/>
      <c r="AH631" s="7"/>
      <c r="AI631" s="3" t="s">
        <v>59</v>
      </c>
      <c r="AJ631" s="7" t="s">
        <v>76</v>
      </c>
      <c r="AK631" s="3"/>
      <c r="AL631" cm="1">
        <f t="array" ref="AL631">IF(getColor(V631) = 16777215, 0, 1)</f>
        <v>1</v>
      </c>
    </row>
    <row r="632" spans="1:38">
      <c r="A632" s="1">
        <v>631</v>
      </c>
      <c r="B632" s="3" t="s">
        <v>27</v>
      </c>
      <c r="C632" s="7" t="s">
        <v>318</v>
      </c>
      <c r="D632" s="7" t="s">
        <v>319</v>
      </c>
      <c r="E632" s="8">
        <v>55.816600000000001</v>
      </c>
      <c r="F632" s="8">
        <v>-133.58746666666667</v>
      </c>
      <c r="G632" s="9" t="s">
        <v>30</v>
      </c>
      <c r="H632" s="3" t="s">
        <v>31</v>
      </c>
      <c r="I632" s="3" t="s">
        <v>31</v>
      </c>
      <c r="J632" s="3" t="s">
        <v>31</v>
      </c>
      <c r="K632" s="7" t="s">
        <v>47</v>
      </c>
      <c r="L632" s="9">
        <v>0</v>
      </c>
      <c r="M632" s="9">
        <v>9</v>
      </c>
      <c r="N632" s="9">
        <f t="shared" si="52"/>
        <v>9</v>
      </c>
      <c r="O632" s="9"/>
      <c r="P632" s="9"/>
      <c r="Q632" s="25"/>
      <c r="R632" s="11">
        <v>0</v>
      </c>
      <c r="S632" s="1">
        <v>0.93</v>
      </c>
      <c r="T632" s="1">
        <f t="shared" si="53"/>
        <v>0.93</v>
      </c>
      <c r="U632" s="12">
        <v>6</v>
      </c>
      <c r="V632" s="13">
        <v>8.8699999999999992</v>
      </c>
      <c r="W632" s="14">
        <f t="shared" si="54"/>
        <v>6978.7385999999997</v>
      </c>
      <c r="X632" s="18"/>
      <c r="Y632" s="14">
        <f t="shared" si="56"/>
        <v>6978.7385999999997</v>
      </c>
      <c r="Z632" s="3"/>
      <c r="AA632" s="3"/>
      <c r="AB632" s="5"/>
      <c r="AC632" s="1"/>
      <c r="AD632" s="32"/>
      <c r="AE632" s="32"/>
      <c r="AF632" s="3"/>
      <c r="AG632" s="7"/>
      <c r="AH632" s="7"/>
      <c r="AI632" s="3" t="s">
        <v>59</v>
      </c>
      <c r="AJ632" s="7" t="s">
        <v>47</v>
      </c>
      <c r="AK632" s="3"/>
      <c r="AL632" cm="1">
        <f t="array" ref="AL632">IF(getColor(V632) = 16777215, 0, 1)</f>
        <v>0</v>
      </c>
    </row>
    <row r="633" spans="1:38">
      <c r="A633" s="1">
        <v>632</v>
      </c>
      <c r="B633" s="3" t="s">
        <v>27</v>
      </c>
      <c r="C633" s="7" t="s">
        <v>318</v>
      </c>
      <c r="D633" s="7" t="s">
        <v>319</v>
      </c>
      <c r="E633" s="8">
        <v>55.816600000000001</v>
      </c>
      <c r="F633" s="8">
        <v>-133.58746666666667</v>
      </c>
      <c r="G633" s="9" t="s">
        <v>30</v>
      </c>
      <c r="H633" s="3" t="s">
        <v>31</v>
      </c>
      <c r="I633" s="3" t="s">
        <v>31</v>
      </c>
      <c r="J633" s="3" t="s">
        <v>31</v>
      </c>
      <c r="K633" s="7" t="s">
        <v>101</v>
      </c>
      <c r="L633" s="9">
        <v>9</v>
      </c>
      <c r="M633" s="9">
        <v>20</v>
      </c>
      <c r="N633" s="9">
        <f t="shared" si="52"/>
        <v>11</v>
      </c>
      <c r="O633" s="9"/>
      <c r="P633" s="9"/>
      <c r="Q633" s="25"/>
      <c r="R633" s="11">
        <v>0</v>
      </c>
      <c r="S633" s="1">
        <v>0.86</v>
      </c>
      <c r="T633" s="1">
        <f t="shared" si="53"/>
        <v>0.86</v>
      </c>
      <c r="U633" s="12">
        <v>12</v>
      </c>
      <c r="V633" s="13">
        <v>6.91</v>
      </c>
      <c r="W633" s="14">
        <f t="shared" si="54"/>
        <v>5752.4367999999995</v>
      </c>
      <c r="X633" s="18"/>
      <c r="Y633" s="14">
        <f t="shared" si="56"/>
        <v>5752.4367999999995</v>
      </c>
      <c r="Z633" s="3"/>
      <c r="AA633" s="3"/>
      <c r="AB633" s="5"/>
      <c r="AC633" s="1"/>
      <c r="AD633" s="28"/>
      <c r="AE633" s="28"/>
      <c r="AF633" s="3"/>
      <c r="AG633" s="7"/>
      <c r="AH633" s="7"/>
      <c r="AI633" s="3" t="s">
        <v>59</v>
      </c>
      <c r="AJ633" s="7" t="s">
        <v>102</v>
      </c>
      <c r="AK633" s="3"/>
      <c r="AL633" cm="1">
        <f t="array" ref="AL633">IF(getColor(V633) = 16777215, 0, 1)</f>
        <v>0</v>
      </c>
    </row>
    <row r="634" spans="1:38">
      <c r="A634" s="1">
        <v>633</v>
      </c>
      <c r="B634" s="3" t="s">
        <v>27</v>
      </c>
      <c r="C634" s="7" t="s">
        <v>318</v>
      </c>
      <c r="D634" s="7" t="s">
        <v>319</v>
      </c>
      <c r="E634" s="8">
        <v>55.816600000000001</v>
      </c>
      <c r="F634" s="8">
        <v>-133.58746666666667</v>
      </c>
      <c r="G634" s="9" t="s">
        <v>30</v>
      </c>
      <c r="H634" s="3" t="s">
        <v>31</v>
      </c>
      <c r="I634" s="3" t="s">
        <v>31</v>
      </c>
      <c r="J634" s="3" t="s">
        <v>31</v>
      </c>
      <c r="K634" s="7" t="s">
        <v>103</v>
      </c>
      <c r="L634" s="9">
        <v>20</v>
      </c>
      <c r="M634" s="9">
        <v>36</v>
      </c>
      <c r="N634" s="9">
        <f t="shared" si="52"/>
        <v>16</v>
      </c>
      <c r="O634" s="9"/>
      <c r="P634" s="9"/>
      <c r="Q634" s="25"/>
      <c r="R634" s="11">
        <v>0</v>
      </c>
      <c r="S634" s="1">
        <v>0.86</v>
      </c>
      <c r="T634" s="1">
        <f t="shared" si="53"/>
        <v>0.86</v>
      </c>
      <c r="U634" s="12">
        <v>17</v>
      </c>
      <c r="V634" s="13">
        <v>2.0499999999999998</v>
      </c>
      <c r="W634" s="14">
        <f t="shared" si="54"/>
        <v>2341.2639999999997</v>
      </c>
      <c r="X634" s="18"/>
      <c r="Y634" s="14">
        <f t="shared" si="56"/>
        <v>2341.2639999999997</v>
      </c>
      <c r="Z634" s="3"/>
      <c r="AA634" s="3"/>
      <c r="AB634" s="5"/>
      <c r="AC634" s="1"/>
      <c r="AD634" s="28"/>
      <c r="AE634" s="28"/>
      <c r="AF634" s="3"/>
      <c r="AG634" s="7"/>
      <c r="AH634" s="7"/>
      <c r="AI634" s="3" t="s">
        <v>59</v>
      </c>
      <c r="AJ634" s="7" t="s">
        <v>104</v>
      </c>
      <c r="AK634" s="3"/>
      <c r="AL634" cm="1">
        <f t="array" ref="AL634">IF(getColor(V634) = 16777215, 0, 1)</f>
        <v>0</v>
      </c>
    </row>
    <row r="635" spans="1:38">
      <c r="A635" s="1">
        <v>634</v>
      </c>
      <c r="B635" s="3" t="s">
        <v>27</v>
      </c>
      <c r="C635" s="7" t="s">
        <v>318</v>
      </c>
      <c r="D635" s="7" t="s">
        <v>319</v>
      </c>
      <c r="E635" s="8">
        <v>55.816600000000001</v>
      </c>
      <c r="F635" s="8">
        <v>-133.58746666666667</v>
      </c>
      <c r="G635" s="9" t="s">
        <v>30</v>
      </c>
      <c r="H635" s="3" t="s">
        <v>31</v>
      </c>
      <c r="I635" s="3" t="s">
        <v>31</v>
      </c>
      <c r="J635" s="3" t="s">
        <v>31</v>
      </c>
      <c r="K635" s="7" t="s">
        <v>110</v>
      </c>
      <c r="L635" s="9">
        <v>36</v>
      </c>
      <c r="M635" s="9">
        <v>41</v>
      </c>
      <c r="N635" s="9">
        <f t="shared" si="52"/>
        <v>5</v>
      </c>
      <c r="O635" s="9"/>
      <c r="P635" s="9"/>
      <c r="Q635" s="25"/>
      <c r="R635" s="11">
        <v>0</v>
      </c>
      <c r="S635" s="1">
        <v>1.17</v>
      </c>
      <c r="T635" s="1">
        <f t="shared" si="53"/>
        <v>1.17</v>
      </c>
      <c r="U635" s="12">
        <v>14</v>
      </c>
      <c r="V635" s="13">
        <v>1.0900000000000001</v>
      </c>
      <c r="W635" s="14">
        <f t="shared" si="54"/>
        <v>548.37900000000002</v>
      </c>
      <c r="X635" s="18"/>
      <c r="Y635" s="14">
        <f t="shared" si="56"/>
        <v>548.37900000000002</v>
      </c>
      <c r="Z635" s="3"/>
      <c r="AA635" s="3"/>
      <c r="AB635" s="5"/>
      <c r="AC635" s="1"/>
      <c r="AD635" s="28"/>
      <c r="AE635" s="28"/>
      <c r="AF635" s="3"/>
      <c r="AG635" s="7"/>
      <c r="AH635" s="7"/>
      <c r="AI635" s="3" t="s">
        <v>59</v>
      </c>
      <c r="AJ635" s="7" t="s">
        <v>111</v>
      </c>
      <c r="AK635" s="3"/>
      <c r="AL635" cm="1">
        <f t="array" ref="AL635">IF(getColor(V635) = 16777215, 0, 1)</f>
        <v>0</v>
      </c>
    </row>
    <row r="636" spans="1:38">
      <c r="A636" s="1">
        <v>635</v>
      </c>
      <c r="B636" s="3" t="s">
        <v>27</v>
      </c>
      <c r="C636" s="7" t="s">
        <v>318</v>
      </c>
      <c r="D636" s="7" t="s">
        <v>319</v>
      </c>
      <c r="E636" s="8">
        <v>55.816600000000001</v>
      </c>
      <c r="F636" s="8">
        <v>-133.58746666666667</v>
      </c>
      <c r="G636" s="9" t="s">
        <v>30</v>
      </c>
      <c r="H636" s="3" t="s">
        <v>31</v>
      </c>
      <c r="I636" s="3" t="s">
        <v>31</v>
      </c>
      <c r="J636" s="3" t="s">
        <v>31</v>
      </c>
      <c r="K636" s="7" t="s">
        <v>137</v>
      </c>
      <c r="L636" s="9">
        <v>41</v>
      </c>
      <c r="M636" s="9">
        <v>71</v>
      </c>
      <c r="N636" s="9">
        <f t="shared" si="52"/>
        <v>30</v>
      </c>
      <c r="O636" s="9"/>
      <c r="P636" s="9"/>
      <c r="Q636" s="25"/>
      <c r="R636" s="11">
        <v>0</v>
      </c>
      <c r="S636" s="1">
        <v>1.74</v>
      </c>
      <c r="T636" s="1">
        <f t="shared" si="53"/>
        <v>1.74</v>
      </c>
      <c r="U636" s="12">
        <v>9</v>
      </c>
      <c r="V636" s="13">
        <v>0.96</v>
      </c>
      <c r="W636" s="14">
        <f t="shared" si="54"/>
        <v>4560.192</v>
      </c>
      <c r="X636" s="18"/>
      <c r="Y636" s="14">
        <f t="shared" si="56"/>
        <v>4560.192</v>
      </c>
      <c r="Z636" s="3"/>
      <c r="AA636" s="3"/>
      <c r="AB636" s="5"/>
      <c r="AC636" s="1"/>
      <c r="AD636" s="28"/>
      <c r="AE636" s="28"/>
      <c r="AF636" s="3"/>
      <c r="AG636" s="7"/>
      <c r="AH636" s="7"/>
      <c r="AI636" s="3" t="s">
        <v>59</v>
      </c>
      <c r="AJ636" s="7" t="s">
        <v>137</v>
      </c>
      <c r="AK636" s="3"/>
      <c r="AL636" cm="1">
        <f t="array" ref="AL636">IF(getColor(V636) = 16777215, 0, 1)</f>
        <v>0</v>
      </c>
    </row>
    <row r="637" spans="1:38">
      <c r="A637" s="1">
        <v>636</v>
      </c>
      <c r="B637" s="3" t="s">
        <v>27</v>
      </c>
      <c r="C637" s="7" t="s">
        <v>320</v>
      </c>
      <c r="D637" s="7" t="s">
        <v>201</v>
      </c>
      <c r="E637" s="8">
        <v>55.870766666666668</v>
      </c>
      <c r="F637" s="8">
        <v>-133.16659999999999</v>
      </c>
      <c r="G637" s="9" t="s">
        <v>30</v>
      </c>
      <c r="H637" s="3" t="s">
        <v>31</v>
      </c>
      <c r="I637" s="3" t="s">
        <v>31</v>
      </c>
      <c r="J637" s="3" t="s">
        <v>31</v>
      </c>
      <c r="K637" s="7" t="s">
        <v>49</v>
      </c>
      <c r="L637" s="9">
        <v>20</v>
      </c>
      <c r="M637" s="9">
        <v>14</v>
      </c>
      <c r="N637" s="9">
        <f t="shared" si="52"/>
        <v>6</v>
      </c>
      <c r="O637" s="29">
        <f>M641</f>
        <v>33</v>
      </c>
      <c r="P637" s="29">
        <f>L637</f>
        <v>20</v>
      </c>
      <c r="Q637" s="29">
        <f>P637+O637</f>
        <v>53</v>
      </c>
      <c r="R637" s="11">
        <v>0</v>
      </c>
      <c r="S637" s="1">
        <v>0.08</v>
      </c>
      <c r="T637" s="1">
        <f t="shared" si="53"/>
        <v>0.08</v>
      </c>
      <c r="U637" s="12"/>
      <c r="V637" s="31">
        <v>36.66627891666667</v>
      </c>
      <c r="W637" s="14">
        <f t="shared" si="54"/>
        <v>1759.9813880000004</v>
      </c>
      <c r="X637" s="14">
        <f>SUM(W637:W641)</f>
        <v>25947.678787999997</v>
      </c>
      <c r="Y637" s="14">
        <f t="shared" si="56"/>
        <v>1759.9813880000004</v>
      </c>
      <c r="Z637" s="15">
        <f>SUM(Y637:Y641)/10^6*10^4</f>
        <v>259.47678787999996</v>
      </c>
      <c r="AA637" s="16">
        <v>61.987040781537644</v>
      </c>
      <c r="AB637" s="5"/>
      <c r="AC637" s="1"/>
      <c r="AD637" s="28"/>
      <c r="AE637" s="28"/>
      <c r="AF637" s="3"/>
      <c r="AG637" s="7"/>
      <c r="AH637" s="7"/>
      <c r="AI637" s="3" t="s">
        <v>107</v>
      </c>
      <c r="AJ637" s="7" t="s">
        <v>60</v>
      </c>
      <c r="AK637" s="3"/>
      <c r="AL637" cm="1">
        <f t="array" ref="AL637">IF(getColor(V637) = 16777215, 0, 1)</f>
        <v>1</v>
      </c>
    </row>
    <row r="638" spans="1:38">
      <c r="A638" s="1">
        <v>637</v>
      </c>
      <c r="B638" s="3" t="s">
        <v>27</v>
      </c>
      <c r="C638" s="7" t="s">
        <v>320</v>
      </c>
      <c r="D638" s="7" t="s">
        <v>201</v>
      </c>
      <c r="E638" s="8">
        <v>55.870766666666668</v>
      </c>
      <c r="F638" s="8">
        <v>-133.16659999999999</v>
      </c>
      <c r="G638" s="9" t="s">
        <v>30</v>
      </c>
      <c r="H638" s="3" t="s">
        <v>31</v>
      </c>
      <c r="I638" s="3" t="s">
        <v>31</v>
      </c>
      <c r="J638" s="3" t="s">
        <v>31</v>
      </c>
      <c r="K638" s="7" t="s">
        <v>52</v>
      </c>
      <c r="L638" s="9">
        <v>14</v>
      </c>
      <c r="M638" s="9">
        <v>0</v>
      </c>
      <c r="N638" s="9">
        <f t="shared" si="52"/>
        <v>14</v>
      </c>
      <c r="O638" s="9"/>
      <c r="P638" s="9"/>
      <c r="Q638" s="25"/>
      <c r="R638" s="11">
        <v>0</v>
      </c>
      <c r="S638" s="1">
        <v>0.15</v>
      </c>
      <c r="T638" s="1">
        <f t="shared" si="53"/>
        <v>0.15</v>
      </c>
      <c r="U638" s="12">
        <v>17</v>
      </c>
      <c r="V638" s="13">
        <v>46.55</v>
      </c>
      <c r="W638" s="14">
        <f t="shared" si="54"/>
        <v>8113.6649999999981</v>
      </c>
      <c r="X638" s="18"/>
      <c r="Y638" s="14">
        <f t="shared" si="56"/>
        <v>8113.6649999999981</v>
      </c>
      <c r="Z638" s="3"/>
      <c r="AA638" s="3"/>
      <c r="AB638" s="5"/>
      <c r="AC638" s="5"/>
      <c r="AD638" s="32"/>
      <c r="AE638" s="32"/>
      <c r="AF638" s="3"/>
      <c r="AG638" s="7"/>
      <c r="AH638" s="7"/>
      <c r="AI638" s="3" t="s">
        <v>107</v>
      </c>
      <c r="AJ638" s="7" t="s">
        <v>76</v>
      </c>
      <c r="AK638" s="3"/>
      <c r="AL638" cm="1">
        <f t="array" ref="AL638">IF(getColor(V638) = 16777215, 0, 1)</f>
        <v>0</v>
      </c>
    </row>
    <row r="639" spans="1:38">
      <c r="A639" s="1">
        <v>638</v>
      </c>
      <c r="B639" s="3" t="s">
        <v>27</v>
      </c>
      <c r="C639" s="7" t="s">
        <v>320</v>
      </c>
      <c r="D639" s="7" t="s">
        <v>201</v>
      </c>
      <c r="E639" s="8">
        <v>55.870766666666668</v>
      </c>
      <c r="F639" s="8">
        <v>-133.16659999999999</v>
      </c>
      <c r="G639" s="9" t="s">
        <v>30</v>
      </c>
      <c r="H639" s="3" t="s">
        <v>31</v>
      </c>
      <c r="I639" s="3" t="s">
        <v>31</v>
      </c>
      <c r="J639" s="3" t="s">
        <v>31</v>
      </c>
      <c r="K639" s="7" t="s">
        <v>77</v>
      </c>
      <c r="L639" s="9">
        <v>0</v>
      </c>
      <c r="M639" s="9">
        <v>6</v>
      </c>
      <c r="N639" s="9">
        <f t="shared" si="52"/>
        <v>6</v>
      </c>
      <c r="O639" s="9"/>
      <c r="P639" s="9"/>
      <c r="Q639" s="25"/>
      <c r="R639" s="11">
        <v>0</v>
      </c>
      <c r="S639" s="1">
        <v>0.86</v>
      </c>
      <c r="T639" s="1">
        <f t="shared" si="53"/>
        <v>0.86</v>
      </c>
      <c r="U639" s="12">
        <v>5</v>
      </c>
      <c r="V639" s="13">
        <v>12.12</v>
      </c>
      <c r="W639" s="14">
        <f t="shared" si="54"/>
        <v>5941.2239999999993</v>
      </c>
      <c r="X639" s="18"/>
      <c r="Y639" s="14">
        <f t="shared" si="56"/>
        <v>5941.2239999999993</v>
      </c>
      <c r="Z639" s="3"/>
      <c r="AA639" s="3"/>
      <c r="AB639" s="5"/>
      <c r="AC639" s="1"/>
      <c r="AD639" s="28"/>
      <c r="AE639" s="28"/>
      <c r="AF639" s="3"/>
      <c r="AG639" s="7"/>
      <c r="AH639" s="7"/>
      <c r="AI639" s="3" t="s">
        <v>107</v>
      </c>
      <c r="AJ639" s="7" t="s">
        <v>78</v>
      </c>
      <c r="AK639" s="3"/>
      <c r="AL639" cm="1">
        <f t="array" ref="AL639">IF(getColor(V639) = 16777215, 0, 1)</f>
        <v>0</v>
      </c>
    </row>
    <row r="640" spans="1:38">
      <c r="A640" s="1">
        <v>639</v>
      </c>
      <c r="B640" s="3" t="s">
        <v>27</v>
      </c>
      <c r="C640" s="7" t="s">
        <v>320</v>
      </c>
      <c r="D640" s="7" t="s">
        <v>201</v>
      </c>
      <c r="E640" s="8">
        <v>55.870766666666668</v>
      </c>
      <c r="F640" s="8">
        <v>-133.16659999999999</v>
      </c>
      <c r="G640" s="9" t="s">
        <v>30</v>
      </c>
      <c r="H640" s="3" t="s">
        <v>31</v>
      </c>
      <c r="I640" s="3" t="s">
        <v>31</v>
      </c>
      <c r="J640" s="3" t="s">
        <v>31</v>
      </c>
      <c r="K640" s="7" t="s">
        <v>41</v>
      </c>
      <c r="L640" s="9">
        <v>6</v>
      </c>
      <c r="M640" s="9">
        <v>33</v>
      </c>
      <c r="N640" s="9">
        <f t="shared" si="52"/>
        <v>27</v>
      </c>
      <c r="O640" s="9"/>
      <c r="P640" s="9"/>
      <c r="Q640" s="25"/>
      <c r="R640" s="11">
        <v>0</v>
      </c>
      <c r="S640" s="1">
        <v>1.17</v>
      </c>
      <c r="T640" s="1">
        <f t="shared" si="53"/>
        <v>1.17</v>
      </c>
      <c r="U640" s="12">
        <v>1</v>
      </c>
      <c r="V640" s="13">
        <v>3.24</v>
      </c>
      <c r="W640" s="14">
        <f t="shared" si="54"/>
        <v>10132.8084</v>
      </c>
      <c r="X640" s="18"/>
      <c r="Y640" s="14">
        <f t="shared" si="56"/>
        <v>10132.8084</v>
      </c>
      <c r="Z640" s="3"/>
      <c r="AA640" s="3"/>
      <c r="AB640" s="5"/>
      <c r="AC640" s="1"/>
      <c r="AD640" s="28"/>
      <c r="AE640" s="28"/>
      <c r="AF640" s="3"/>
      <c r="AG640" s="7"/>
      <c r="AH640" s="7"/>
      <c r="AI640" s="3" t="s">
        <v>107</v>
      </c>
      <c r="AJ640" s="7" t="s">
        <v>61</v>
      </c>
      <c r="AK640" s="3"/>
      <c r="AL640" cm="1">
        <f t="array" ref="AL640">IF(getColor(V640) = 16777215, 0, 1)</f>
        <v>0</v>
      </c>
    </row>
    <row r="641" spans="1:38">
      <c r="A641" s="1">
        <v>640</v>
      </c>
      <c r="B641" s="3" t="s">
        <v>27</v>
      </c>
      <c r="C641" s="7" t="s">
        <v>320</v>
      </c>
      <c r="D641" s="7" t="s">
        <v>201</v>
      </c>
      <c r="E641" s="8">
        <v>55.870766666666668</v>
      </c>
      <c r="F641" s="8">
        <v>-133.16659999999999</v>
      </c>
      <c r="G641" s="9" t="s">
        <v>30</v>
      </c>
      <c r="H641" s="3" t="s">
        <v>31</v>
      </c>
      <c r="I641" s="3" t="s">
        <v>31</v>
      </c>
      <c r="J641" s="3" t="s">
        <v>31</v>
      </c>
      <c r="K641" s="7" t="s">
        <v>253</v>
      </c>
      <c r="L641" s="9">
        <v>33</v>
      </c>
      <c r="M641" s="9">
        <v>33</v>
      </c>
      <c r="N641" s="9">
        <f t="shared" si="52"/>
        <v>0</v>
      </c>
      <c r="O641" s="9"/>
      <c r="P641" s="9"/>
      <c r="Q641" s="25"/>
      <c r="R641" s="11">
        <v>0</v>
      </c>
      <c r="S641" s="1">
        <v>0</v>
      </c>
      <c r="T641" s="1">
        <f t="shared" si="53"/>
        <v>0</v>
      </c>
      <c r="U641" s="12"/>
      <c r="V641" s="35">
        <v>0</v>
      </c>
      <c r="W641" s="14">
        <f t="shared" si="54"/>
        <v>0</v>
      </c>
      <c r="X641" s="18"/>
      <c r="Y641" s="14">
        <f t="shared" si="56"/>
        <v>0</v>
      </c>
      <c r="Z641" s="3"/>
      <c r="AA641" s="3"/>
      <c r="AB641" s="5"/>
      <c r="AC641" s="1"/>
      <c r="AD641" s="28"/>
      <c r="AE641" s="28"/>
      <c r="AF641" s="3"/>
      <c r="AG641" s="7"/>
      <c r="AH641" s="7"/>
      <c r="AI641" s="3" t="s">
        <v>107</v>
      </c>
      <c r="AJ641" s="7" t="s">
        <v>253</v>
      </c>
      <c r="AK641" s="3"/>
      <c r="AL641" cm="1">
        <f t="array" ref="AL641">IF(getColor(V641) = 16777215, 0, 1)</f>
        <v>1</v>
      </c>
    </row>
    <row r="642" spans="1:38">
      <c r="A642" s="1">
        <v>641</v>
      </c>
      <c r="B642" s="3" t="s">
        <v>27</v>
      </c>
      <c r="C642" s="7" t="s">
        <v>321</v>
      </c>
      <c r="D642" s="7" t="s">
        <v>145</v>
      </c>
      <c r="E642" s="8">
        <v>55.924933333333335</v>
      </c>
      <c r="F642" s="8">
        <v>-133.76472222222222</v>
      </c>
      <c r="G642" s="9" t="s">
        <v>30</v>
      </c>
      <c r="H642" s="3" t="s">
        <v>31</v>
      </c>
      <c r="I642" s="3" t="s">
        <v>31</v>
      </c>
      <c r="J642" s="3" t="s">
        <v>31</v>
      </c>
      <c r="K642" s="7" t="s">
        <v>32</v>
      </c>
      <c r="L642" s="9">
        <v>0</v>
      </c>
      <c r="M642" s="9">
        <v>5</v>
      </c>
      <c r="N642" s="9">
        <f t="shared" ref="N642:N705" si="57">ABS(M642-L642)</f>
        <v>5</v>
      </c>
      <c r="O642" s="10">
        <f>M644-P642</f>
        <v>10</v>
      </c>
      <c r="P642" s="10">
        <f>M643</f>
        <v>17</v>
      </c>
      <c r="Q642" s="10">
        <f>O642+P642</f>
        <v>27</v>
      </c>
      <c r="R642" s="11">
        <v>0</v>
      </c>
      <c r="S642" s="1">
        <v>0.12</v>
      </c>
      <c r="T642" s="1">
        <f t="shared" ref="T642:T705" si="58">IF(R642=0,S642,R642)</f>
        <v>0.12</v>
      </c>
      <c r="U642" s="12">
        <v>0</v>
      </c>
      <c r="V642" s="13">
        <v>50.189139000000004</v>
      </c>
      <c r="W642" s="14">
        <f t="shared" si="54"/>
        <v>3011.3483400000005</v>
      </c>
      <c r="X642" s="14">
        <f>SUM(W642:W644)</f>
        <v>18614.121926400003</v>
      </c>
      <c r="Y642" s="14">
        <f t="shared" si="56"/>
        <v>3011.3483400000005</v>
      </c>
      <c r="Z642" s="15">
        <f>SUM(Y642:Y644)/10^6*10^4</f>
        <v>186.14121926400003</v>
      </c>
      <c r="AA642" s="16">
        <v>37.539998499275171</v>
      </c>
      <c r="AB642" s="5"/>
      <c r="AC642" s="1"/>
      <c r="AD642" s="28"/>
      <c r="AE642" s="28"/>
      <c r="AF642" s="3"/>
      <c r="AG642" s="7"/>
      <c r="AH642" s="7"/>
      <c r="AI642" s="3" t="s">
        <v>146</v>
      </c>
      <c r="AJ642" s="7" t="s">
        <v>34</v>
      </c>
      <c r="AK642" s="3"/>
      <c r="AL642" cm="1">
        <f t="array" ref="AL642">IF(getColor(V642) = 16777215, 0, 1)</f>
        <v>0</v>
      </c>
    </row>
    <row r="643" spans="1:38">
      <c r="A643" s="1">
        <v>642</v>
      </c>
      <c r="B643" s="3" t="s">
        <v>27</v>
      </c>
      <c r="C643" s="7" t="s">
        <v>321</v>
      </c>
      <c r="D643" s="7" t="s">
        <v>145</v>
      </c>
      <c r="E643" s="8">
        <v>55.924933333333335</v>
      </c>
      <c r="F643" s="8">
        <v>-133.76472222222222</v>
      </c>
      <c r="G643" s="9" t="s">
        <v>30</v>
      </c>
      <c r="H643" s="3" t="s">
        <v>31</v>
      </c>
      <c r="I643" s="3" t="s">
        <v>31</v>
      </c>
      <c r="J643" s="3" t="s">
        <v>31</v>
      </c>
      <c r="K643" s="7" t="s">
        <v>35</v>
      </c>
      <c r="L643" s="9">
        <v>5</v>
      </c>
      <c r="M643" s="9">
        <v>17</v>
      </c>
      <c r="N643" s="9">
        <f t="shared" si="57"/>
        <v>12</v>
      </c>
      <c r="O643" s="9"/>
      <c r="P643" s="9"/>
      <c r="Q643" s="25"/>
      <c r="R643" s="11">
        <v>0</v>
      </c>
      <c r="S643" s="1">
        <v>0.12</v>
      </c>
      <c r="T643" s="1">
        <f t="shared" si="58"/>
        <v>0.12</v>
      </c>
      <c r="U643" s="12">
        <v>0</v>
      </c>
      <c r="V643" s="13">
        <v>51.567516000000005</v>
      </c>
      <c r="W643" s="14">
        <f t="shared" ref="W643:W706" si="59">T643*V643/100*N643*100*100*((100-U643)/100)</f>
        <v>7425.7223040000017</v>
      </c>
      <c r="X643" s="25"/>
      <c r="Y643" s="14">
        <f t="shared" si="56"/>
        <v>7425.7223040000017</v>
      </c>
      <c r="Z643" s="3"/>
      <c r="AA643" s="3"/>
      <c r="AB643" s="5"/>
      <c r="AC643" s="5"/>
      <c r="AD643" s="28"/>
      <c r="AE643" s="28"/>
      <c r="AF643" s="3"/>
      <c r="AG643" s="7"/>
      <c r="AH643" s="7"/>
      <c r="AI643" s="3" t="s">
        <v>146</v>
      </c>
      <c r="AJ643" s="7" t="s">
        <v>36</v>
      </c>
      <c r="AK643" s="3"/>
      <c r="AL643" cm="1">
        <f t="array" ref="AL643">IF(getColor(V643) = 16777215, 0, 1)</f>
        <v>0</v>
      </c>
    </row>
    <row r="644" spans="1:38">
      <c r="A644" s="1">
        <v>643</v>
      </c>
      <c r="B644" s="3" t="s">
        <v>27</v>
      </c>
      <c r="C644" s="7" t="s">
        <v>321</v>
      </c>
      <c r="D644" s="7" t="s">
        <v>145</v>
      </c>
      <c r="E644" s="8">
        <v>55.924933333333335</v>
      </c>
      <c r="F644" s="8">
        <v>-133.76472222222222</v>
      </c>
      <c r="G644" s="9" t="s">
        <v>30</v>
      </c>
      <c r="H644" s="3" t="s">
        <v>31</v>
      </c>
      <c r="I644" s="3" t="s">
        <v>31</v>
      </c>
      <c r="J644" s="3" t="s">
        <v>31</v>
      </c>
      <c r="K644" s="7" t="s">
        <v>44</v>
      </c>
      <c r="L644" s="9">
        <v>17</v>
      </c>
      <c r="M644" s="9">
        <v>27</v>
      </c>
      <c r="N644" s="9">
        <f t="shared" si="57"/>
        <v>10</v>
      </c>
      <c r="O644" s="9"/>
      <c r="P644" s="9"/>
      <c r="Q644" s="25"/>
      <c r="R644" s="11">
        <v>0</v>
      </c>
      <c r="S644" s="1">
        <v>1.74</v>
      </c>
      <c r="T644" s="1">
        <f t="shared" si="58"/>
        <v>1.74</v>
      </c>
      <c r="U644" s="12">
        <v>8</v>
      </c>
      <c r="V644" s="13">
        <v>5.1081029999999998</v>
      </c>
      <c r="W644" s="14">
        <f t="shared" si="59"/>
        <v>8177.0512824000007</v>
      </c>
      <c r="X644" s="25"/>
      <c r="Y644" s="14">
        <f t="shared" si="56"/>
        <v>8177.0512824000007</v>
      </c>
      <c r="Z644" s="3"/>
      <c r="AA644" s="3"/>
      <c r="AB644" s="5"/>
      <c r="AC644" s="1"/>
      <c r="AD644" s="28"/>
      <c r="AE644" s="28"/>
      <c r="AF644" s="3"/>
      <c r="AG644" s="7"/>
      <c r="AH644" s="7"/>
      <c r="AI644" s="3" t="s">
        <v>146</v>
      </c>
      <c r="AJ644" s="7" t="s">
        <v>44</v>
      </c>
      <c r="AK644" s="3"/>
      <c r="AL644" cm="1">
        <f t="array" ref="AL644">IF(getColor(V644) = 16777215, 0, 1)</f>
        <v>0</v>
      </c>
    </row>
    <row r="645" spans="1:38">
      <c r="A645" s="1">
        <v>644</v>
      </c>
      <c r="B645" s="3" t="s">
        <v>27</v>
      </c>
      <c r="C645" s="7" t="s">
        <v>322</v>
      </c>
      <c r="D645" s="7" t="s">
        <v>166</v>
      </c>
      <c r="E645" s="8">
        <v>55.924933333333335</v>
      </c>
      <c r="F645" s="8">
        <v>-133.76472222222222</v>
      </c>
      <c r="G645" s="9" t="s">
        <v>30</v>
      </c>
      <c r="H645" s="3" t="s">
        <v>31</v>
      </c>
      <c r="I645" s="3" t="s">
        <v>31</v>
      </c>
      <c r="J645" s="3" t="s">
        <v>31</v>
      </c>
      <c r="K645" s="7" t="s">
        <v>51</v>
      </c>
      <c r="L645" s="9">
        <v>25</v>
      </c>
      <c r="M645" s="9">
        <v>20</v>
      </c>
      <c r="N645" s="9">
        <f t="shared" si="57"/>
        <v>5</v>
      </c>
      <c r="O645" s="29">
        <f>M649</f>
        <v>44</v>
      </c>
      <c r="P645" s="29">
        <f>L645</f>
        <v>25</v>
      </c>
      <c r="Q645" s="29">
        <f>P645+O645</f>
        <v>69</v>
      </c>
      <c r="R645" s="11">
        <v>0</v>
      </c>
      <c r="S645" s="1">
        <v>0.12</v>
      </c>
      <c r="T645" s="1">
        <f t="shared" si="58"/>
        <v>0.12</v>
      </c>
      <c r="U645" s="12">
        <v>0</v>
      </c>
      <c r="V645" s="13">
        <v>51.683215000000004</v>
      </c>
      <c r="W645" s="14">
        <f t="shared" si="59"/>
        <v>3100.9929000000002</v>
      </c>
      <c r="X645" s="14">
        <f>SUM(W645:W649)</f>
        <v>58308.699416699994</v>
      </c>
      <c r="Y645" s="14">
        <f t="shared" si="56"/>
        <v>3100.9929000000002</v>
      </c>
      <c r="Z645" s="15">
        <f>SUM(Y645:Y649)/10^6*10^4</f>
        <v>583.08699416699994</v>
      </c>
      <c r="AA645" s="16">
        <v>110.82388258142186</v>
      </c>
      <c r="AB645" s="5"/>
      <c r="AC645" s="1"/>
      <c r="AD645" s="28"/>
      <c r="AE645" s="28"/>
      <c r="AF645" s="3"/>
      <c r="AG645" s="7"/>
      <c r="AH645" s="7"/>
      <c r="AI645" s="3" t="s">
        <v>107</v>
      </c>
      <c r="AJ645" s="7" t="s">
        <v>67</v>
      </c>
      <c r="AK645" s="3"/>
      <c r="AL645" cm="1">
        <f t="array" ref="AL645">IF(getColor(V645) = 16777215, 0, 1)</f>
        <v>0</v>
      </c>
    </row>
    <row r="646" spans="1:38">
      <c r="A646" s="1">
        <v>645</v>
      </c>
      <c r="B646" s="3" t="s">
        <v>27</v>
      </c>
      <c r="C646" s="7" t="s">
        <v>322</v>
      </c>
      <c r="D646" s="7" t="s">
        <v>166</v>
      </c>
      <c r="E646" s="8">
        <v>55.924933333333335</v>
      </c>
      <c r="F646" s="8">
        <v>-133.76472222222222</v>
      </c>
      <c r="G646" s="9" t="s">
        <v>30</v>
      </c>
      <c r="H646" s="3" t="s">
        <v>31</v>
      </c>
      <c r="I646" s="3" t="s">
        <v>31</v>
      </c>
      <c r="J646" s="3" t="s">
        <v>31</v>
      </c>
      <c r="K646" s="7" t="s">
        <v>52</v>
      </c>
      <c r="L646" s="9">
        <v>20</v>
      </c>
      <c r="M646" s="9">
        <v>0</v>
      </c>
      <c r="N646" s="9">
        <f t="shared" si="57"/>
        <v>20</v>
      </c>
      <c r="O646" s="9"/>
      <c r="P646" s="9"/>
      <c r="Q646" s="25"/>
      <c r="R646" s="11">
        <v>0</v>
      </c>
      <c r="S646" s="1">
        <v>0.15</v>
      </c>
      <c r="T646" s="1">
        <f t="shared" si="58"/>
        <v>0.15</v>
      </c>
      <c r="U646" s="12">
        <v>0</v>
      </c>
      <c r="V646" s="13">
        <v>53.479044999999999</v>
      </c>
      <c r="W646" s="14">
        <f t="shared" si="59"/>
        <v>16043.713499999998</v>
      </c>
      <c r="X646" s="25"/>
      <c r="Y646" s="14">
        <f t="shared" si="56"/>
        <v>16043.713499999998</v>
      </c>
      <c r="Z646" s="3"/>
      <c r="AA646" s="3"/>
      <c r="AB646" s="5"/>
      <c r="AC646" s="5"/>
      <c r="AD646" s="28"/>
      <c r="AE646" s="28"/>
      <c r="AF646" s="3"/>
      <c r="AG646" s="7"/>
      <c r="AH646" s="7"/>
      <c r="AI646" s="3" t="s">
        <v>107</v>
      </c>
      <c r="AJ646" s="7" t="s">
        <v>76</v>
      </c>
      <c r="AK646" s="3"/>
      <c r="AL646" cm="1">
        <f t="array" ref="AL646">IF(getColor(V646) = 16777215, 0, 1)</f>
        <v>0</v>
      </c>
    </row>
    <row r="647" spans="1:38">
      <c r="A647" s="1">
        <v>646</v>
      </c>
      <c r="B647" s="3" t="s">
        <v>27</v>
      </c>
      <c r="C647" s="7" t="s">
        <v>322</v>
      </c>
      <c r="D647" s="7" t="s">
        <v>166</v>
      </c>
      <c r="E647" s="8">
        <v>55.924933333333335</v>
      </c>
      <c r="F647" s="8">
        <v>-133.76472222222222</v>
      </c>
      <c r="G647" s="9" t="s">
        <v>30</v>
      </c>
      <c r="H647" s="3" t="s">
        <v>31</v>
      </c>
      <c r="I647" s="3" t="s">
        <v>31</v>
      </c>
      <c r="J647" s="3" t="s">
        <v>31</v>
      </c>
      <c r="K647" s="7" t="s">
        <v>47</v>
      </c>
      <c r="L647" s="9">
        <v>0</v>
      </c>
      <c r="M647" s="9">
        <v>5</v>
      </c>
      <c r="N647" s="9">
        <f t="shared" si="57"/>
        <v>5</v>
      </c>
      <c r="O647" s="9"/>
      <c r="P647" s="9"/>
      <c r="Q647" s="25"/>
      <c r="R647" s="11">
        <v>0</v>
      </c>
      <c r="S647" s="1">
        <v>0.93</v>
      </c>
      <c r="T647" s="1">
        <f t="shared" si="58"/>
        <v>0.93</v>
      </c>
      <c r="U647" s="12">
        <v>6</v>
      </c>
      <c r="V647" s="13">
        <v>5.9378250000000001</v>
      </c>
      <c r="W647" s="14">
        <f t="shared" si="59"/>
        <v>2595.4233074999997</v>
      </c>
      <c r="X647" s="25"/>
      <c r="Y647" s="14">
        <f t="shared" si="56"/>
        <v>2595.4233074999997</v>
      </c>
      <c r="Z647" s="3"/>
      <c r="AA647" s="3"/>
      <c r="AB647" s="5"/>
      <c r="AC647" s="1"/>
      <c r="AD647" s="28"/>
      <c r="AE647" s="28"/>
      <c r="AF647" s="3"/>
      <c r="AG647" s="7"/>
      <c r="AH647" s="7"/>
      <c r="AI647" s="3" t="s">
        <v>107</v>
      </c>
      <c r="AJ647" s="7" t="s">
        <v>47</v>
      </c>
      <c r="AK647" s="3"/>
      <c r="AL647" cm="1">
        <f t="array" ref="AL647">IF(getColor(V647) = 16777215, 0, 1)</f>
        <v>0</v>
      </c>
    </row>
    <row r="648" spans="1:38">
      <c r="A648" s="1">
        <v>647</v>
      </c>
      <c r="B648" s="3" t="s">
        <v>27</v>
      </c>
      <c r="C648" s="7" t="s">
        <v>322</v>
      </c>
      <c r="D648" s="7" t="s">
        <v>166</v>
      </c>
      <c r="E648" s="8">
        <v>55.924933333333335</v>
      </c>
      <c r="F648" s="8">
        <v>-133.76472222222222</v>
      </c>
      <c r="G648" s="9" t="s">
        <v>30</v>
      </c>
      <c r="H648" s="3" t="s">
        <v>31</v>
      </c>
      <c r="I648" s="3" t="s">
        <v>31</v>
      </c>
      <c r="J648" s="3" t="s">
        <v>31</v>
      </c>
      <c r="K648" s="7" t="s">
        <v>41</v>
      </c>
      <c r="L648" s="9">
        <v>5</v>
      </c>
      <c r="M648" s="9">
        <v>29</v>
      </c>
      <c r="N648" s="9">
        <f t="shared" si="57"/>
        <v>24</v>
      </c>
      <c r="O648" s="9"/>
      <c r="P648" s="9"/>
      <c r="Q648" s="25"/>
      <c r="R648" s="11">
        <v>0</v>
      </c>
      <c r="S648" s="1">
        <v>1.17</v>
      </c>
      <c r="T648" s="1">
        <f t="shared" si="58"/>
        <v>1.17</v>
      </c>
      <c r="U648" s="12">
        <v>7</v>
      </c>
      <c r="V648" s="13">
        <v>7.3474550000000001</v>
      </c>
      <c r="W648" s="14">
        <f t="shared" si="59"/>
        <v>19187.437885199997</v>
      </c>
      <c r="X648" s="25"/>
      <c r="Y648" s="14">
        <f t="shared" si="56"/>
        <v>19187.437885199997</v>
      </c>
      <c r="Z648" s="3"/>
      <c r="AA648" s="3"/>
      <c r="AB648" s="5"/>
      <c r="AC648" s="1"/>
      <c r="AD648" s="28"/>
      <c r="AE648" s="28"/>
      <c r="AF648" s="3"/>
      <c r="AG648" s="7"/>
      <c r="AH648" s="7"/>
      <c r="AI648" s="3" t="s">
        <v>107</v>
      </c>
      <c r="AJ648" s="7" t="s">
        <v>61</v>
      </c>
      <c r="AK648" s="3"/>
      <c r="AL648" cm="1">
        <f t="array" ref="AL648">IF(getColor(V648) = 16777215, 0, 1)</f>
        <v>0</v>
      </c>
    </row>
    <row r="649" spans="1:38">
      <c r="A649" s="1">
        <v>648</v>
      </c>
      <c r="B649" s="3" t="s">
        <v>27</v>
      </c>
      <c r="C649" s="7" t="s">
        <v>322</v>
      </c>
      <c r="D649" s="7" t="s">
        <v>166</v>
      </c>
      <c r="E649" s="8">
        <v>55.924933333333335</v>
      </c>
      <c r="F649" s="8">
        <v>-133.76472222222222</v>
      </c>
      <c r="G649" s="9" t="s">
        <v>30</v>
      </c>
      <c r="H649" s="3" t="s">
        <v>31</v>
      </c>
      <c r="I649" s="3" t="s">
        <v>31</v>
      </c>
      <c r="J649" s="3" t="s">
        <v>31</v>
      </c>
      <c r="K649" s="7" t="s">
        <v>77</v>
      </c>
      <c r="L649" s="9">
        <v>29</v>
      </c>
      <c r="M649" s="9">
        <v>44</v>
      </c>
      <c r="N649" s="9">
        <f t="shared" si="57"/>
        <v>15</v>
      </c>
      <c r="O649" s="9"/>
      <c r="P649" s="9"/>
      <c r="Q649" s="25"/>
      <c r="R649" s="11">
        <v>0</v>
      </c>
      <c r="S649" s="1">
        <v>0.86</v>
      </c>
      <c r="T649" s="1">
        <f t="shared" si="58"/>
        <v>0.86</v>
      </c>
      <c r="U649" s="12">
        <v>2</v>
      </c>
      <c r="V649" s="13">
        <v>13.74872</v>
      </c>
      <c r="W649" s="14">
        <f t="shared" si="59"/>
        <v>17381.131824</v>
      </c>
      <c r="X649" s="25"/>
      <c r="Y649" s="14">
        <f t="shared" si="56"/>
        <v>17381.131824</v>
      </c>
      <c r="Z649" s="3"/>
      <c r="AA649" s="3"/>
      <c r="AB649" s="5"/>
      <c r="AC649" s="1"/>
      <c r="AD649" s="28"/>
      <c r="AE649" s="28"/>
      <c r="AF649" s="3"/>
      <c r="AG649" s="7"/>
      <c r="AH649" s="7"/>
      <c r="AI649" s="3" t="s">
        <v>107</v>
      </c>
      <c r="AJ649" s="7" t="s">
        <v>78</v>
      </c>
      <c r="AK649" s="3"/>
      <c r="AL649" cm="1">
        <f t="array" ref="AL649">IF(getColor(V649) = 16777215, 0, 1)</f>
        <v>0</v>
      </c>
    </row>
    <row r="650" spans="1:38">
      <c r="A650" s="1">
        <v>649</v>
      </c>
      <c r="B650" s="3" t="s">
        <v>27</v>
      </c>
      <c r="C650" s="7" t="s">
        <v>323</v>
      </c>
      <c r="D650" s="7" t="s">
        <v>255</v>
      </c>
      <c r="E650" s="8">
        <v>55.923822222222228</v>
      </c>
      <c r="F650" s="8">
        <v>-132.16798888888889</v>
      </c>
      <c r="G650" s="9" t="s">
        <v>30</v>
      </c>
      <c r="H650" s="3" t="s">
        <v>31</v>
      </c>
      <c r="I650" s="3" t="s">
        <v>31</v>
      </c>
      <c r="J650" s="3" t="s">
        <v>31</v>
      </c>
      <c r="K650" s="7" t="s">
        <v>53</v>
      </c>
      <c r="L650" s="9">
        <v>8</v>
      </c>
      <c r="M650" s="9">
        <v>0</v>
      </c>
      <c r="N650" s="9">
        <f t="shared" si="57"/>
        <v>8</v>
      </c>
      <c r="O650" s="29">
        <f>M655</f>
        <v>124</v>
      </c>
      <c r="P650" s="29">
        <f>L650</f>
        <v>8</v>
      </c>
      <c r="Q650" s="29">
        <f>P650+O650</f>
        <v>132</v>
      </c>
      <c r="R650" s="11">
        <v>0</v>
      </c>
      <c r="S650" s="1">
        <v>0.11</v>
      </c>
      <c r="T650" s="1">
        <f t="shared" si="58"/>
        <v>0.11</v>
      </c>
      <c r="U650" s="12">
        <v>0</v>
      </c>
      <c r="V650" s="13">
        <v>44.741270000000007</v>
      </c>
      <c r="W650" s="14">
        <f t="shared" si="59"/>
        <v>3937.231760000001</v>
      </c>
      <c r="X650" s="14">
        <f>SUM(W650:W655)</f>
        <v>52592.229774200008</v>
      </c>
      <c r="Y650" s="14">
        <f t="shared" si="56"/>
        <v>3937.231760000001</v>
      </c>
      <c r="Z650" s="15">
        <f>SUM(Y650:Y655)/10^6*10^4</f>
        <v>419.72131422200005</v>
      </c>
      <c r="AA650" s="16">
        <v>57.839672616931637</v>
      </c>
      <c r="AB650" s="5"/>
      <c r="AC650" s="1"/>
      <c r="AD650" s="28"/>
      <c r="AE650" s="28"/>
      <c r="AF650" s="3"/>
      <c r="AG650" s="7"/>
      <c r="AH650" s="7"/>
      <c r="AI650" s="3" t="s">
        <v>107</v>
      </c>
      <c r="AJ650" s="7" t="s">
        <v>53</v>
      </c>
      <c r="AK650" s="3"/>
      <c r="AL650" cm="1">
        <f t="array" ref="AL650">IF(getColor(V650) = 16777215, 0, 1)</f>
        <v>0</v>
      </c>
    </row>
    <row r="651" spans="1:38">
      <c r="A651" s="1">
        <v>650</v>
      </c>
      <c r="B651" s="3" t="s">
        <v>27</v>
      </c>
      <c r="C651" s="7" t="s">
        <v>323</v>
      </c>
      <c r="D651" s="7" t="s">
        <v>255</v>
      </c>
      <c r="E651" s="8">
        <v>55.923822222222228</v>
      </c>
      <c r="F651" s="8">
        <v>-132.16798888888889</v>
      </c>
      <c r="G651" s="9" t="s">
        <v>30</v>
      </c>
      <c r="H651" s="3" t="s">
        <v>31</v>
      </c>
      <c r="I651" s="3" t="s">
        <v>31</v>
      </c>
      <c r="J651" s="3" t="s">
        <v>31</v>
      </c>
      <c r="K651" s="7" t="s">
        <v>87</v>
      </c>
      <c r="L651" s="9">
        <v>0</v>
      </c>
      <c r="M651" s="9">
        <v>3</v>
      </c>
      <c r="N651" s="9">
        <f t="shared" si="57"/>
        <v>3</v>
      </c>
      <c r="O651" s="9"/>
      <c r="P651" s="9"/>
      <c r="Q651" s="25"/>
      <c r="R651" s="11">
        <v>0</v>
      </c>
      <c r="S651" s="1">
        <v>0.93</v>
      </c>
      <c r="T651" s="1">
        <f t="shared" si="58"/>
        <v>0.93</v>
      </c>
      <c r="U651" s="12">
        <v>6</v>
      </c>
      <c r="V651" s="13">
        <v>5.8702399999999999</v>
      </c>
      <c r="W651" s="14">
        <f t="shared" si="59"/>
        <v>1539.5291424</v>
      </c>
      <c r="X651" s="25"/>
      <c r="Y651" s="14">
        <f t="shared" si="56"/>
        <v>1539.5291424</v>
      </c>
      <c r="Z651" s="3"/>
      <c r="AA651" s="3"/>
      <c r="AB651" s="5"/>
      <c r="AC651" s="5"/>
      <c r="AD651" s="28"/>
      <c r="AE651" s="28"/>
      <c r="AF651" s="3"/>
      <c r="AG651" s="7"/>
      <c r="AH651" s="7"/>
      <c r="AI651" s="3" t="s">
        <v>107</v>
      </c>
      <c r="AJ651" s="7" t="s">
        <v>87</v>
      </c>
      <c r="AK651" s="3"/>
      <c r="AL651" cm="1">
        <f t="array" ref="AL651">IF(getColor(V651) = 16777215, 0, 1)</f>
        <v>0</v>
      </c>
    </row>
    <row r="652" spans="1:38">
      <c r="A652" s="1">
        <v>651</v>
      </c>
      <c r="B652" s="3" t="s">
        <v>27</v>
      </c>
      <c r="C652" s="7" t="s">
        <v>323</v>
      </c>
      <c r="D652" s="7" t="s">
        <v>255</v>
      </c>
      <c r="E652" s="8">
        <v>55.923822222222228</v>
      </c>
      <c r="F652" s="8">
        <v>-132.16798888888889</v>
      </c>
      <c r="G652" s="9" t="s">
        <v>30</v>
      </c>
      <c r="H652" s="3" t="s">
        <v>31</v>
      </c>
      <c r="I652" s="3" t="s">
        <v>31</v>
      </c>
      <c r="J652" s="3" t="s">
        <v>31</v>
      </c>
      <c r="K652" s="7" t="s">
        <v>68</v>
      </c>
      <c r="L652" s="9">
        <v>3</v>
      </c>
      <c r="M652" s="9">
        <v>5</v>
      </c>
      <c r="N652" s="9">
        <f t="shared" si="57"/>
        <v>2</v>
      </c>
      <c r="O652" s="9"/>
      <c r="P652" s="9"/>
      <c r="Q652" s="25"/>
      <c r="R652" s="11">
        <v>0</v>
      </c>
      <c r="S652" s="1">
        <v>0.86</v>
      </c>
      <c r="T652" s="1">
        <f t="shared" si="58"/>
        <v>0.86</v>
      </c>
      <c r="U652" s="12">
        <v>16</v>
      </c>
      <c r="V652" s="13">
        <v>10.707395</v>
      </c>
      <c r="W652" s="14">
        <f t="shared" si="59"/>
        <v>1547.0044295999996</v>
      </c>
      <c r="X652" s="25"/>
      <c r="Y652" s="14">
        <f t="shared" si="56"/>
        <v>1547.0044295999996</v>
      </c>
      <c r="Z652" s="3"/>
      <c r="AA652" s="3"/>
      <c r="AB652" s="5"/>
      <c r="AC652" s="1"/>
      <c r="AD652" s="28"/>
      <c r="AE652" s="28"/>
      <c r="AF652" s="3"/>
      <c r="AG652" s="7"/>
      <c r="AH652" s="7"/>
      <c r="AI652" s="3" t="s">
        <v>107</v>
      </c>
      <c r="AJ652" s="7" t="s">
        <v>68</v>
      </c>
      <c r="AK652" s="3"/>
      <c r="AL652" cm="1">
        <f t="array" ref="AL652">IF(getColor(V652) = 16777215, 0, 1)</f>
        <v>0</v>
      </c>
    </row>
    <row r="653" spans="1:38">
      <c r="A653" s="1">
        <v>652</v>
      </c>
      <c r="B653" s="3" t="s">
        <v>27</v>
      </c>
      <c r="C653" s="7" t="s">
        <v>323</v>
      </c>
      <c r="D653" s="7" t="s">
        <v>255</v>
      </c>
      <c r="E653" s="8">
        <v>55.923822222222228</v>
      </c>
      <c r="F653" s="8">
        <v>-132.16798888888889</v>
      </c>
      <c r="G653" s="9" t="s">
        <v>30</v>
      </c>
      <c r="H653" s="3" t="s">
        <v>31</v>
      </c>
      <c r="I653" s="3" t="s">
        <v>31</v>
      </c>
      <c r="J653" s="3" t="s">
        <v>31</v>
      </c>
      <c r="K653" s="7" t="s">
        <v>69</v>
      </c>
      <c r="L653" s="9">
        <v>5</v>
      </c>
      <c r="M653" s="9">
        <v>20</v>
      </c>
      <c r="N653" s="9">
        <f t="shared" si="57"/>
        <v>15</v>
      </c>
      <c r="O653" s="9"/>
      <c r="P653" s="9"/>
      <c r="Q653" s="25"/>
      <c r="R653" s="11">
        <v>0</v>
      </c>
      <c r="S653" s="1">
        <v>1.17</v>
      </c>
      <c r="T653" s="1">
        <f t="shared" si="58"/>
        <v>1.17</v>
      </c>
      <c r="U653" s="12">
        <v>23</v>
      </c>
      <c r="V653" s="13">
        <v>6.1405800000000008</v>
      </c>
      <c r="W653" s="14">
        <f t="shared" si="59"/>
        <v>8298.0727830000014</v>
      </c>
      <c r="X653" s="25"/>
      <c r="Y653" s="14">
        <f t="shared" si="56"/>
        <v>8298.0727830000014</v>
      </c>
      <c r="Z653" s="3"/>
      <c r="AA653" s="3"/>
      <c r="AB653" s="5"/>
      <c r="AC653" s="1"/>
      <c r="AD653" s="28"/>
      <c r="AE653" s="28"/>
      <c r="AF653" s="3"/>
      <c r="AG653" s="7"/>
      <c r="AH653" s="7"/>
      <c r="AI653" s="3" t="s">
        <v>107</v>
      </c>
      <c r="AJ653" s="7" t="s">
        <v>70</v>
      </c>
      <c r="AK653" s="3"/>
      <c r="AL653" cm="1">
        <f t="array" ref="AL653">IF(getColor(V653) = 16777215, 0, 1)</f>
        <v>0</v>
      </c>
    </row>
    <row r="654" spans="1:38">
      <c r="A654" s="1">
        <v>653</v>
      </c>
      <c r="B654" s="3" t="s">
        <v>27</v>
      </c>
      <c r="C654" s="7" t="s">
        <v>323</v>
      </c>
      <c r="D654" s="7" t="s">
        <v>255</v>
      </c>
      <c r="E654" s="8">
        <v>55.923822222222228</v>
      </c>
      <c r="F654" s="8">
        <v>-132.16798888888889</v>
      </c>
      <c r="G654" s="9" t="s">
        <v>30</v>
      </c>
      <c r="H654" s="3" t="s">
        <v>31</v>
      </c>
      <c r="I654" s="3" t="s">
        <v>31</v>
      </c>
      <c r="J654" s="3" t="s">
        <v>31</v>
      </c>
      <c r="K654" s="7" t="s">
        <v>71</v>
      </c>
      <c r="L654" s="9">
        <v>20</v>
      </c>
      <c r="M654" s="9">
        <v>64</v>
      </c>
      <c r="N654" s="9">
        <f t="shared" si="57"/>
        <v>44</v>
      </c>
      <c r="O654" s="9"/>
      <c r="P654" s="9"/>
      <c r="Q654" s="25"/>
      <c r="R654" s="11">
        <v>0</v>
      </c>
      <c r="S654" s="1">
        <v>1.17</v>
      </c>
      <c r="T654" s="1">
        <f t="shared" si="58"/>
        <v>1.17</v>
      </c>
      <c r="U654" s="12">
        <v>36</v>
      </c>
      <c r="V654" s="13">
        <v>3.2537350000000003</v>
      </c>
      <c r="W654" s="14">
        <f t="shared" si="59"/>
        <v>10720.145779200004</v>
      </c>
      <c r="X654" s="25"/>
      <c r="Y654" s="14">
        <f t="shared" si="56"/>
        <v>10720.145779200004</v>
      </c>
      <c r="Z654" s="3"/>
      <c r="AA654" s="3"/>
      <c r="AB654" s="5"/>
      <c r="AC654" s="1"/>
      <c r="AD654" s="28"/>
      <c r="AE654" s="28"/>
      <c r="AF654" s="3"/>
      <c r="AG654" s="7"/>
      <c r="AH654" s="7"/>
      <c r="AI654" s="3" t="s">
        <v>107</v>
      </c>
      <c r="AJ654" s="7" t="s">
        <v>72</v>
      </c>
      <c r="AK654" s="3"/>
      <c r="AL654" cm="1">
        <f t="array" ref="AL654">IF(getColor(V654) = 16777215, 0, 1)</f>
        <v>0</v>
      </c>
    </row>
    <row r="655" spans="1:38">
      <c r="A655" s="1">
        <v>654</v>
      </c>
      <c r="B655" s="3" t="s">
        <v>27</v>
      </c>
      <c r="C655" s="7" t="s">
        <v>323</v>
      </c>
      <c r="D655" s="7" t="s">
        <v>255</v>
      </c>
      <c r="E655" s="8">
        <v>55.923822222222228</v>
      </c>
      <c r="F655" s="8">
        <v>-132.16798888888889</v>
      </c>
      <c r="G655" s="9" t="s">
        <v>30</v>
      </c>
      <c r="H655" s="3" t="s">
        <v>31</v>
      </c>
      <c r="I655" s="3" t="s">
        <v>31</v>
      </c>
      <c r="J655" s="3" t="s">
        <v>31</v>
      </c>
      <c r="K655" s="7" t="s">
        <v>44</v>
      </c>
      <c r="L655" s="9">
        <v>64</v>
      </c>
      <c r="M655" s="9">
        <v>124</v>
      </c>
      <c r="N655" s="9">
        <f t="shared" si="57"/>
        <v>60</v>
      </c>
      <c r="O655" s="9"/>
      <c r="P655" s="9"/>
      <c r="Q655" s="25"/>
      <c r="R655" s="11">
        <v>0</v>
      </c>
      <c r="S655" s="1">
        <v>1.74</v>
      </c>
      <c r="T655" s="1">
        <f t="shared" si="58"/>
        <v>1.74</v>
      </c>
      <c r="U655" s="12">
        <v>40</v>
      </c>
      <c r="V655" s="13">
        <v>4.2385450000000002</v>
      </c>
      <c r="W655" s="14">
        <f t="shared" si="59"/>
        <v>26550.245880000006</v>
      </c>
      <c r="X655" s="25"/>
      <c r="Y655" s="14">
        <f>IF(L655&gt;-100,W655-W655*(ABS(M655)-100)/(ABS(M655)-ABS(L655)),0)</f>
        <v>15930.147528000003</v>
      </c>
      <c r="Z655" s="3"/>
      <c r="AA655" s="3"/>
      <c r="AB655" s="5"/>
      <c r="AC655" s="1"/>
      <c r="AD655" s="28"/>
      <c r="AE655" s="28"/>
      <c r="AF655" s="3"/>
      <c r="AG655" s="7"/>
      <c r="AH655" s="7"/>
      <c r="AI655" s="3" t="s">
        <v>107</v>
      </c>
      <c r="AJ655" s="7" t="s">
        <v>44</v>
      </c>
      <c r="AK655" s="3"/>
      <c r="AL655" cm="1">
        <f t="array" ref="AL655">IF(getColor(V655) = 16777215, 0, 1)</f>
        <v>0</v>
      </c>
    </row>
    <row r="656" spans="1:38">
      <c r="A656" s="1">
        <v>655</v>
      </c>
      <c r="B656" s="3" t="s">
        <v>27</v>
      </c>
      <c r="C656" s="7" t="s">
        <v>324</v>
      </c>
      <c r="D656" s="7" t="s">
        <v>325</v>
      </c>
      <c r="E656" s="8">
        <v>55.923544444444445</v>
      </c>
      <c r="F656" s="8">
        <v>-132.16659999999999</v>
      </c>
      <c r="G656" s="9" t="s">
        <v>30</v>
      </c>
      <c r="H656" s="3" t="s">
        <v>31</v>
      </c>
      <c r="I656" s="3" t="s">
        <v>31</v>
      </c>
      <c r="J656" s="3" t="s">
        <v>31</v>
      </c>
      <c r="K656" s="7" t="s">
        <v>49</v>
      </c>
      <c r="L656" s="9">
        <v>0</v>
      </c>
      <c r="M656" s="9">
        <v>15</v>
      </c>
      <c r="N656" s="9">
        <f t="shared" si="57"/>
        <v>15</v>
      </c>
      <c r="O656" s="29">
        <f>M658</f>
        <v>130</v>
      </c>
      <c r="P656" s="29">
        <f>L656</f>
        <v>0</v>
      </c>
      <c r="Q656" s="29">
        <f>P656+O656</f>
        <v>130</v>
      </c>
      <c r="R656" s="11">
        <v>0</v>
      </c>
      <c r="S656" s="1">
        <v>0.08</v>
      </c>
      <c r="T656" s="1">
        <f t="shared" si="58"/>
        <v>0.08</v>
      </c>
      <c r="U656" s="12">
        <v>0</v>
      </c>
      <c r="V656" s="13">
        <v>42.792749999999998</v>
      </c>
      <c r="W656" s="14">
        <f t="shared" si="59"/>
        <v>5135.13</v>
      </c>
      <c r="X656" s="14">
        <f>SUM(W656:W658)</f>
        <v>76192.626510000002</v>
      </c>
      <c r="Y656" s="14">
        <f>T656*V656/100*N656*100*100*((100-U656)/100)</f>
        <v>5135.13</v>
      </c>
      <c r="Z656" s="15">
        <f>SUM(Y656:Y658)/10^6*10^4</f>
        <v>580.06158210000001</v>
      </c>
      <c r="AA656" s="16">
        <v>182.37700437261049</v>
      </c>
      <c r="AB656" s="5"/>
      <c r="AC656" s="1"/>
      <c r="AD656" s="28"/>
      <c r="AE656" s="28"/>
      <c r="AF656" s="3"/>
      <c r="AG656" s="7"/>
      <c r="AH656" s="7"/>
      <c r="AI656" s="3" t="s">
        <v>178</v>
      </c>
      <c r="AJ656" s="7" t="s">
        <v>60</v>
      </c>
      <c r="AK656" s="3"/>
      <c r="AL656" cm="1">
        <f t="array" ref="AL656">IF(getColor(V656) = 16777215, 0, 1)</f>
        <v>0</v>
      </c>
    </row>
    <row r="657" spans="1:38">
      <c r="A657" s="1">
        <v>656</v>
      </c>
      <c r="B657" s="3" t="s">
        <v>27</v>
      </c>
      <c r="C657" s="7" t="s">
        <v>324</v>
      </c>
      <c r="D657" s="7" t="s">
        <v>325</v>
      </c>
      <c r="E657" s="8">
        <v>55.923544444444445</v>
      </c>
      <c r="F657" s="8">
        <v>-132.16659999999999</v>
      </c>
      <c r="G657" s="9" t="s">
        <v>30</v>
      </c>
      <c r="H657" s="3" t="s">
        <v>31</v>
      </c>
      <c r="I657" s="3" t="s">
        <v>31</v>
      </c>
      <c r="J657" s="3" t="s">
        <v>31</v>
      </c>
      <c r="K657" s="7" t="s">
        <v>179</v>
      </c>
      <c r="L657" s="9">
        <v>15</v>
      </c>
      <c r="M657" s="9">
        <v>51</v>
      </c>
      <c r="N657" s="9">
        <f t="shared" si="57"/>
        <v>36</v>
      </c>
      <c r="O657" s="9"/>
      <c r="P657" s="9"/>
      <c r="Q657" s="25"/>
      <c r="R657" s="11">
        <v>0</v>
      </c>
      <c r="S657" s="1">
        <v>0.15</v>
      </c>
      <c r="T657" s="1">
        <f t="shared" si="58"/>
        <v>0.15</v>
      </c>
      <c r="U657" s="12">
        <v>0</v>
      </c>
      <c r="V657" s="13">
        <v>42.900857999999999</v>
      </c>
      <c r="W657" s="14">
        <f t="shared" si="59"/>
        <v>23166.463319999999</v>
      </c>
      <c r="X657" s="25"/>
      <c r="Y657" s="14">
        <f>T657*V657/100*N657*100*100*((100-U657)/100)</f>
        <v>23166.463319999999</v>
      </c>
      <c r="Z657" s="3"/>
      <c r="AA657" s="3"/>
      <c r="AB657" s="5"/>
      <c r="AC657" s="5"/>
      <c r="AD657" s="28"/>
      <c r="AE657" s="28"/>
      <c r="AF657" s="3"/>
      <c r="AG657" s="7"/>
      <c r="AH657" s="7"/>
      <c r="AI657" s="3" t="s">
        <v>178</v>
      </c>
      <c r="AJ657" s="7" t="s">
        <v>180</v>
      </c>
      <c r="AK657" s="3"/>
      <c r="AL657" cm="1">
        <f t="array" ref="AL657">IF(getColor(V657) = 16777215, 0, 1)</f>
        <v>0</v>
      </c>
    </row>
    <row r="658" spans="1:38">
      <c r="A658" s="1">
        <v>657</v>
      </c>
      <c r="B658" s="3" t="s">
        <v>27</v>
      </c>
      <c r="C658" s="7" t="s">
        <v>324</v>
      </c>
      <c r="D658" s="7" t="s">
        <v>325</v>
      </c>
      <c r="E658" s="8">
        <v>55.923544444444445</v>
      </c>
      <c r="F658" s="8">
        <v>-132.16659999999999</v>
      </c>
      <c r="G658" s="9" t="s">
        <v>30</v>
      </c>
      <c r="H658" s="3" t="s">
        <v>31</v>
      </c>
      <c r="I658" s="3" t="s">
        <v>31</v>
      </c>
      <c r="J658" s="3" t="s">
        <v>31</v>
      </c>
      <c r="K658" s="7" t="s">
        <v>132</v>
      </c>
      <c r="L658" s="9">
        <v>51</v>
      </c>
      <c r="M658" s="9">
        <v>130</v>
      </c>
      <c r="N658" s="9">
        <f t="shared" si="57"/>
        <v>79</v>
      </c>
      <c r="O658" s="9"/>
      <c r="P658" s="9"/>
      <c r="Q658" s="25"/>
      <c r="R658" s="11">
        <v>0</v>
      </c>
      <c r="S658" s="1">
        <v>0.15</v>
      </c>
      <c r="T658" s="1">
        <f t="shared" si="58"/>
        <v>0.15</v>
      </c>
      <c r="U658" s="12">
        <v>0</v>
      </c>
      <c r="V658" s="13">
        <v>40.414374000000002</v>
      </c>
      <c r="W658" s="14">
        <f t="shared" si="59"/>
        <v>47891.033190000009</v>
      </c>
      <c r="X658" s="25"/>
      <c r="Y658" s="14">
        <f>IF(L658&gt;-100,W658-W658*(ABS(M658)-100)/(ABS(M658)-ABS(L658)),0)</f>
        <v>29704.564890000005</v>
      </c>
      <c r="Z658" s="3"/>
      <c r="AA658" s="3"/>
      <c r="AB658" s="5"/>
      <c r="AC658" s="1"/>
      <c r="AD658" s="28"/>
      <c r="AE658" s="28"/>
      <c r="AF658" s="3"/>
      <c r="AG658" s="7"/>
      <c r="AH658" s="7"/>
      <c r="AI658" s="3" t="s">
        <v>178</v>
      </c>
      <c r="AJ658" s="7" t="s">
        <v>133</v>
      </c>
      <c r="AK658" s="3"/>
      <c r="AL658" cm="1">
        <f t="array" ref="AL658">IF(getColor(V658) = 16777215, 0, 1)</f>
        <v>0</v>
      </c>
    </row>
    <row r="659" spans="1:38">
      <c r="A659" s="1">
        <v>658</v>
      </c>
      <c r="B659" s="3" t="s">
        <v>27</v>
      </c>
      <c r="C659" s="7" t="s">
        <v>326</v>
      </c>
      <c r="D659" s="7" t="s">
        <v>327</v>
      </c>
      <c r="E659" s="8">
        <v>55.945800000000006</v>
      </c>
      <c r="F659" s="8">
        <v>-131.14163333333332</v>
      </c>
      <c r="G659" s="9" t="s">
        <v>30</v>
      </c>
      <c r="H659" s="3" t="s">
        <v>31</v>
      </c>
      <c r="I659" s="3" t="s">
        <v>31</v>
      </c>
      <c r="J659" s="3" t="s">
        <v>31</v>
      </c>
      <c r="K659" s="7" t="s">
        <v>179</v>
      </c>
      <c r="L659" s="9">
        <v>0</v>
      </c>
      <c r="M659" s="9">
        <v>15</v>
      </c>
      <c r="N659" s="9">
        <f t="shared" si="57"/>
        <v>15</v>
      </c>
      <c r="O659" s="29">
        <f>M661</f>
        <v>117</v>
      </c>
      <c r="P659" s="29">
        <f>L659</f>
        <v>0</v>
      </c>
      <c r="Q659" s="29">
        <f>P659+O659</f>
        <v>117</v>
      </c>
      <c r="R659" s="11">
        <v>0</v>
      </c>
      <c r="S659" s="1">
        <v>0.15</v>
      </c>
      <c r="T659" s="1">
        <f t="shared" si="58"/>
        <v>0.15</v>
      </c>
      <c r="U659" s="12">
        <v>0</v>
      </c>
      <c r="V659" s="13">
        <v>19.360340999999998</v>
      </c>
      <c r="W659" s="14">
        <f t="shared" si="59"/>
        <v>4356.076724999999</v>
      </c>
      <c r="X659" s="14">
        <f>SUM(W659:W661)</f>
        <v>8919.2613509999992</v>
      </c>
      <c r="Y659" s="14">
        <f t="shared" ref="Y659:Y665" si="60">T659*V659/100*N659*100*100*((100-U659)/100)</f>
        <v>4356.076724999999</v>
      </c>
      <c r="Z659" s="15">
        <f>SUM(Y659:Y661)/10^6*10^4</f>
        <v>89.192613510000001</v>
      </c>
      <c r="AA659" s="16">
        <v>47.911802404037573</v>
      </c>
      <c r="AB659" s="5"/>
      <c r="AC659" s="1"/>
      <c r="AD659" s="28"/>
      <c r="AE659" s="28"/>
      <c r="AF659" s="3"/>
      <c r="AG659" s="7"/>
      <c r="AH659" s="7"/>
      <c r="AI659" s="3" t="s">
        <v>178</v>
      </c>
      <c r="AJ659" s="7" t="s">
        <v>180</v>
      </c>
      <c r="AK659" s="3"/>
      <c r="AL659" cm="1">
        <f t="array" ref="AL659">IF(getColor(V659) = 16777215, 0, 1)</f>
        <v>0</v>
      </c>
    </row>
    <row r="660" spans="1:38">
      <c r="A660" s="1">
        <v>659</v>
      </c>
      <c r="B660" s="3" t="s">
        <v>27</v>
      </c>
      <c r="C660" s="7" t="s">
        <v>326</v>
      </c>
      <c r="D660" s="7" t="s">
        <v>327</v>
      </c>
      <c r="E660" s="8">
        <v>55.945800000000006</v>
      </c>
      <c r="F660" s="8">
        <v>-131.14163333333332</v>
      </c>
      <c r="G660" s="9" t="s">
        <v>30</v>
      </c>
      <c r="H660" s="3" t="s">
        <v>31</v>
      </c>
      <c r="I660" s="3" t="s">
        <v>31</v>
      </c>
      <c r="J660" s="3" t="s">
        <v>31</v>
      </c>
      <c r="K660" s="7" t="s">
        <v>132</v>
      </c>
      <c r="L660" s="9">
        <v>15</v>
      </c>
      <c r="M660" s="9">
        <v>35</v>
      </c>
      <c r="N660" s="9">
        <f t="shared" si="57"/>
        <v>20</v>
      </c>
      <c r="O660" s="9"/>
      <c r="P660" s="9"/>
      <c r="Q660" s="25"/>
      <c r="R660" s="11">
        <v>0</v>
      </c>
      <c r="S660" s="1">
        <v>0.15</v>
      </c>
      <c r="T660" s="1">
        <f t="shared" si="58"/>
        <v>0.15</v>
      </c>
      <c r="U660" s="12">
        <v>18</v>
      </c>
      <c r="V660" s="13">
        <v>11.018007000000001</v>
      </c>
      <c r="W660" s="14">
        <f t="shared" si="59"/>
        <v>2710.4297219999999</v>
      </c>
      <c r="X660" s="25"/>
      <c r="Y660" s="14">
        <f t="shared" si="60"/>
        <v>2710.4297219999999</v>
      </c>
      <c r="Z660" s="3"/>
      <c r="AA660" s="3"/>
      <c r="AB660" s="5"/>
      <c r="AC660" s="5"/>
      <c r="AD660" s="28"/>
      <c r="AE660" s="28"/>
      <c r="AF660" s="3"/>
      <c r="AG660" s="7"/>
      <c r="AH660" s="7"/>
      <c r="AI660" s="3" t="s">
        <v>178</v>
      </c>
      <c r="AJ660" s="7" t="s">
        <v>133</v>
      </c>
      <c r="AK660" s="3"/>
      <c r="AL660" cm="1">
        <f t="array" ref="AL660">IF(getColor(V660) = 16777215, 0, 1)</f>
        <v>0</v>
      </c>
    </row>
    <row r="661" spans="1:38">
      <c r="A661" s="1">
        <v>660</v>
      </c>
      <c r="B661" s="3" t="s">
        <v>27</v>
      </c>
      <c r="C661" s="7" t="s">
        <v>326</v>
      </c>
      <c r="D661" s="7" t="s">
        <v>327</v>
      </c>
      <c r="E661" s="8">
        <v>55.945800000000006</v>
      </c>
      <c r="F661" s="8">
        <v>-131.14163333333332</v>
      </c>
      <c r="G661" s="9" t="s">
        <v>30</v>
      </c>
      <c r="H661" s="3" t="s">
        <v>31</v>
      </c>
      <c r="I661" s="3" t="s">
        <v>31</v>
      </c>
      <c r="J661" s="3" t="s">
        <v>31</v>
      </c>
      <c r="K661" s="7" t="s">
        <v>181</v>
      </c>
      <c r="L661" s="9">
        <v>35</v>
      </c>
      <c r="M661" s="9">
        <v>117</v>
      </c>
      <c r="N661" s="9">
        <f t="shared" si="57"/>
        <v>82</v>
      </c>
      <c r="O661" s="9"/>
      <c r="P661" s="9"/>
      <c r="Q661" s="25"/>
      <c r="R661" s="11">
        <v>0</v>
      </c>
      <c r="S661" s="1">
        <v>0.15</v>
      </c>
      <c r="T661" s="1">
        <f t="shared" si="58"/>
        <v>0.15</v>
      </c>
      <c r="U661" s="12">
        <v>56</v>
      </c>
      <c r="V661" s="13">
        <v>3.4234200000000001</v>
      </c>
      <c r="W661" s="14">
        <f t="shared" si="59"/>
        <v>1852.7549039999999</v>
      </c>
      <c r="X661" s="25"/>
      <c r="Y661" s="14">
        <f t="shared" si="60"/>
        <v>1852.7549039999999</v>
      </c>
      <c r="Z661" s="3"/>
      <c r="AA661" s="3"/>
      <c r="AB661" s="5"/>
      <c r="AC661" s="1"/>
      <c r="AD661" s="28"/>
      <c r="AE661" s="28"/>
      <c r="AF661" s="3"/>
      <c r="AG661" s="7"/>
      <c r="AH661" s="7"/>
      <c r="AI661" s="3" t="s">
        <v>178</v>
      </c>
      <c r="AJ661" s="7" t="s">
        <v>182</v>
      </c>
      <c r="AK661" s="3"/>
      <c r="AL661" cm="1">
        <f t="array" ref="AL661">IF(getColor(V661) = 16777215, 0, 1)</f>
        <v>0</v>
      </c>
    </row>
    <row r="662" spans="1:38">
      <c r="A662" s="1">
        <v>661</v>
      </c>
      <c r="B662" s="3" t="s">
        <v>27</v>
      </c>
      <c r="C662" s="7" t="s">
        <v>328</v>
      </c>
      <c r="D662" s="7" t="s">
        <v>329</v>
      </c>
      <c r="E662" s="8">
        <v>55.945800000000006</v>
      </c>
      <c r="F662" s="8">
        <v>-131.14163333333332</v>
      </c>
      <c r="G662" s="9" t="s">
        <v>30</v>
      </c>
      <c r="H662" s="3" t="s">
        <v>31</v>
      </c>
      <c r="I662" s="3" t="s">
        <v>31</v>
      </c>
      <c r="J662" s="3" t="s">
        <v>31</v>
      </c>
      <c r="K662" s="7" t="s">
        <v>53</v>
      </c>
      <c r="L662" s="9">
        <v>10</v>
      </c>
      <c r="M662" s="9">
        <v>0</v>
      </c>
      <c r="N662" s="9">
        <f t="shared" si="57"/>
        <v>10</v>
      </c>
      <c r="O662" s="29">
        <f>M666</f>
        <v>102</v>
      </c>
      <c r="P662" s="29">
        <f>L662</f>
        <v>10</v>
      </c>
      <c r="Q662" s="29">
        <f>P662+O662</f>
        <v>112</v>
      </c>
      <c r="R662" s="11">
        <v>0</v>
      </c>
      <c r="S662" s="1">
        <v>0.14000000000000001</v>
      </c>
      <c r="T662" s="1">
        <f t="shared" si="58"/>
        <v>0.14000000000000001</v>
      </c>
      <c r="U662" s="12">
        <v>0</v>
      </c>
      <c r="V662" s="13">
        <v>23.22993</v>
      </c>
      <c r="W662" s="14">
        <f t="shared" si="59"/>
        <v>3252.1902000000005</v>
      </c>
      <c r="X662" s="14">
        <f>SUM(W662:W666)</f>
        <v>31894.444791000002</v>
      </c>
      <c r="Y662" s="14">
        <f t="shared" si="60"/>
        <v>3252.1902000000005</v>
      </c>
      <c r="Z662" s="15">
        <f>SUM(Y662:Y666)/10^6*10^4</f>
        <v>317.46768862599998</v>
      </c>
      <c r="AA662" s="16">
        <v>38.583231048141627</v>
      </c>
      <c r="AB662" s="5"/>
      <c r="AC662" s="1"/>
      <c r="AD662" s="28"/>
      <c r="AE662" s="28"/>
      <c r="AF662" s="3"/>
      <c r="AG662" s="7"/>
      <c r="AH662" s="7"/>
      <c r="AI662" s="3" t="s">
        <v>75</v>
      </c>
      <c r="AJ662" s="7" t="s">
        <v>53</v>
      </c>
      <c r="AK662" s="3"/>
      <c r="AL662" cm="1">
        <f t="array" ref="AL662">IF(getColor(V662) = 16777215, 0, 1)</f>
        <v>0</v>
      </c>
    </row>
    <row r="663" spans="1:38">
      <c r="A663" s="1">
        <v>662</v>
      </c>
      <c r="B663" s="3" t="s">
        <v>27</v>
      </c>
      <c r="C663" s="7" t="s">
        <v>328</v>
      </c>
      <c r="D663" s="7" t="s">
        <v>329</v>
      </c>
      <c r="E663" s="8">
        <v>55.945800000000006</v>
      </c>
      <c r="F663" s="8">
        <v>-131.14163333333332</v>
      </c>
      <c r="G663" s="9" t="s">
        <v>30</v>
      </c>
      <c r="H663" s="3" t="s">
        <v>31</v>
      </c>
      <c r="I663" s="3" t="s">
        <v>31</v>
      </c>
      <c r="J663" s="3" t="s">
        <v>31</v>
      </c>
      <c r="K663" s="7" t="s">
        <v>47</v>
      </c>
      <c r="L663" s="9">
        <v>0</v>
      </c>
      <c r="M663" s="9">
        <v>3</v>
      </c>
      <c r="N663" s="9">
        <f t="shared" si="57"/>
        <v>3</v>
      </c>
      <c r="O663" s="9"/>
      <c r="P663" s="9"/>
      <c r="Q663" s="25"/>
      <c r="R663" s="11">
        <v>0</v>
      </c>
      <c r="S663" s="1">
        <v>1.31</v>
      </c>
      <c r="T663" s="1">
        <f t="shared" si="58"/>
        <v>1.31</v>
      </c>
      <c r="U663" s="12">
        <v>1</v>
      </c>
      <c r="V663" s="13">
        <v>2.49099</v>
      </c>
      <c r="W663" s="14">
        <f t="shared" si="59"/>
        <v>969.16947930000003</v>
      </c>
      <c r="X663" s="25"/>
      <c r="Y663" s="14">
        <f t="shared" si="60"/>
        <v>969.16947930000003</v>
      </c>
      <c r="Z663" s="3"/>
      <c r="AA663" s="3"/>
      <c r="AB663" s="5"/>
      <c r="AC663" s="5"/>
      <c r="AD663" s="28"/>
      <c r="AE663" s="28"/>
      <c r="AF663" s="3"/>
      <c r="AG663" s="7"/>
      <c r="AH663" s="7"/>
      <c r="AI663" s="3" t="s">
        <v>75</v>
      </c>
      <c r="AJ663" s="7" t="s">
        <v>47</v>
      </c>
      <c r="AK663" s="3"/>
      <c r="AL663" cm="1">
        <f t="array" ref="AL663">IF(getColor(V663) = 16777215, 0, 1)</f>
        <v>0</v>
      </c>
    </row>
    <row r="664" spans="1:38">
      <c r="A664" s="1">
        <v>663</v>
      </c>
      <c r="B664" s="3" t="s">
        <v>27</v>
      </c>
      <c r="C664" s="7" t="s">
        <v>328</v>
      </c>
      <c r="D664" s="7" t="s">
        <v>329</v>
      </c>
      <c r="E664" s="8">
        <v>55.945800000000006</v>
      </c>
      <c r="F664" s="8">
        <v>-131.14163333333332</v>
      </c>
      <c r="G664" s="9" t="s">
        <v>30</v>
      </c>
      <c r="H664" s="3" t="s">
        <v>31</v>
      </c>
      <c r="I664" s="3" t="s">
        <v>31</v>
      </c>
      <c r="J664" s="3" t="s">
        <v>31</v>
      </c>
      <c r="K664" s="7" t="s">
        <v>68</v>
      </c>
      <c r="L664" s="9">
        <v>3</v>
      </c>
      <c r="M664" s="9">
        <v>15</v>
      </c>
      <c r="N664" s="9">
        <f t="shared" si="57"/>
        <v>12</v>
      </c>
      <c r="O664" s="9"/>
      <c r="P664" s="9"/>
      <c r="Q664" s="25"/>
      <c r="R664" s="11">
        <v>0</v>
      </c>
      <c r="S664" s="1">
        <v>1.19</v>
      </c>
      <c r="T664" s="1">
        <f t="shared" si="58"/>
        <v>1.19</v>
      </c>
      <c r="U664" s="12">
        <v>11</v>
      </c>
      <c r="V664" s="13">
        <v>4.3447500000000003</v>
      </c>
      <c r="W664" s="14">
        <f t="shared" si="59"/>
        <v>5521.8296700000001</v>
      </c>
      <c r="X664" s="25"/>
      <c r="Y664" s="14">
        <f t="shared" si="60"/>
        <v>5521.8296700000001</v>
      </c>
      <c r="Z664" s="3"/>
      <c r="AA664" s="3"/>
      <c r="AB664" s="5"/>
      <c r="AC664" s="1"/>
      <c r="AD664" s="28"/>
      <c r="AE664" s="28"/>
      <c r="AF664" s="3"/>
      <c r="AG664" s="7"/>
      <c r="AH664" s="7"/>
      <c r="AI664" s="3" t="s">
        <v>75</v>
      </c>
      <c r="AJ664" s="7" t="s">
        <v>68</v>
      </c>
      <c r="AK664" s="3"/>
      <c r="AL664" cm="1">
        <f t="array" ref="AL664">IF(getColor(V664) = 16777215, 0, 1)</f>
        <v>0</v>
      </c>
    </row>
    <row r="665" spans="1:38">
      <c r="A665" s="1">
        <v>664</v>
      </c>
      <c r="B665" s="3" t="s">
        <v>27</v>
      </c>
      <c r="C665" s="7" t="s">
        <v>328</v>
      </c>
      <c r="D665" s="7" t="s">
        <v>329</v>
      </c>
      <c r="E665" s="8">
        <v>55.945800000000006</v>
      </c>
      <c r="F665" s="8">
        <v>-131.14163333333332</v>
      </c>
      <c r="G665" s="9" t="s">
        <v>30</v>
      </c>
      <c r="H665" s="3" t="s">
        <v>31</v>
      </c>
      <c r="I665" s="3" t="s">
        <v>31</v>
      </c>
      <c r="J665" s="3" t="s">
        <v>31</v>
      </c>
      <c r="K665" s="7" t="s">
        <v>77</v>
      </c>
      <c r="L665" s="9">
        <v>15</v>
      </c>
      <c r="M665" s="9">
        <v>36</v>
      </c>
      <c r="N665" s="9">
        <f t="shared" si="57"/>
        <v>21</v>
      </c>
      <c r="O665" s="9"/>
      <c r="P665" s="9"/>
      <c r="Q665" s="25"/>
      <c r="R665" s="11">
        <v>0</v>
      </c>
      <c r="S665" s="1">
        <v>1.19</v>
      </c>
      <c r="T665" s="1">
        <f t="shared" si="58"/>
        <v>1.19</v>
      </c>
      <c r="U665" s="12">
        <v>23</v>
      </c>
      <c r="V665" s="13">
        <v>8.9791500000000006</v>
      </c>
      <c r="W665" s="14">
        <f t="shared" si="59"/>
        <v>17277.949804500004</v>
      </c>
      <c r="X665" s="25"/>
      <c r="Y665" s="14">
        <f t="shared" si="60"/>
        <v>17277.949804500004</v>
      </c>
      <c r="Z665" s="3"/>
      <c r="AA665" s="3"/>
      <c r="AB665" s="5"/>
      <c r="AC665" s="1"/>
      <c r="AD665" s="28"/>
      <c r="AE665" s="28"/>
      <c r="AF665" s="3"/>
      <c r="AG665" s="7"/>
      <c r="AH665" s="7"/>
      <c r="AI665" s="3" t="s">
        <v>75</v>
      </c>
      <c r="AJ665" s="7" t="s">
        <v>78</v>
      </c>
      <c r="AK665" s="3"/>
      <c r="AL665" cm="1">
        <f t="array" ref="AL665">IF(getColor(V665) = 16777215, 0, 1)</f>
        <v>0</v>
      </c>
    </row>
    <row r="666" spans="1:38">
      <c r="A666" s="1">
        <v>665</v>
      </c>
      <c r="B666" s="3" t="s">
        <v>27</v>
      </c>
      <c r="C666" s="7" t="s">
        <v>328</v>
      </c>
      <c r="D666" s="7" t="s">
        <v>329</v>
      </c>
      <c r="E666" s="8">
        <v>55.945800000000006</v>
      </c>
      <c r="F666" s="8">
        <v>-131.14163333333332</v>
      </c>
      <c r="G666" s="9" t="s">
        <v>30</v>
      </c>
      <c r="H666" s="3" t="s">
        <v>31</v>
      </c>
      <c r="I666" s="3" t="s">
        <v>31</v>
      </c>
      <c r="J666" s="3" t="s">
        <v>31</v>
      </c>
      <c r="K666" s="7" t="s">
        <v>38</v>
      </c>
      <c r="L666" s="9">
        <v>36</v>
      </c>
      <c r="M666" s="9">
        <v>102</v>
      </c>
      <c r="N666" s="9">
        <f t="shared" si="57"/>
        <v>66</v>
      </c>
      <c r="O666" s="9"/>
      <c r="P666" s="9"/>
      <c r="Q666" s="25"/>
      <c r="R666" s="11">
        <v>0</v>
      </c>
      <c r="S666" s="1">
        <v>1.91</v>
      </c>
      <c r="T666" s="1">
        <f t="shared" si="58"/>
        <v>1.91</v>
      </c>
      <c r="U666" s="12">
        <v>56</v>
      </c>
      <c r="V666" s="13">
        <v>0.87860500000000008</v>
      </c>
      <c r="W666" s="14">
        <f t="shared" si="59"/>
        <v>4873.305637200001</v>
      </c>
      <c r="X666" s="25"/>
      <c r="Y666" s="14">
        <f>IF(L666&gt;-100,W666-W666*(ABS(M666)-100)/(ABS(M666)-ABS(L666)),0)</f>
        <v>4725.629708800001</v>
      </c>
      <c r="Z666" s="3"/>
      <c r="AA666" s="3"/>
      <c r="AB666" s="5"/>
      <c r="AC666" s="1"/>
      <c r="AD666" s="28"/>
      <c r="AE666" s="28"/>
      <c r="AF666" s="3"/>
      <c r="AG666" s="7"/>
      <c r="AH666" s="7"/>
      <c r="AI666" s="3" t="s">
        <v>75</v>
      </c>
      <c r="AJ666" s="7" t="s">
        <v>38</v>
      </c>
      <c r="AK666" s="3"/>
      <c r="AL666" cm="1">
        <f t="array" ref="AL666">IF(getColor(V666) = 16777215, 0, 1)</f>
        <v>0</v>
      </c>
    </row>
    <row r="667" spans="1:38">
      <c r="A667" s="1">
        <v>666</v>
      </c>
      <c r="B667" s="3" t="s">
        <v>27</v>
      </c>
      <c r="C667" s="7" t="s">
        <v>330</v>
      </c>
      <c r="D667" s="7" t="s">
        <v>156</v>
      </c>
      <c r="E667" s="8">
        <v>55.945800000000006</v>
      </c>
      <c r="F667" s="8">
        <v>-131.14163333333332</v>
      </c>
      <c r="G667" s="9" t="s">
        <v>30</v>
      </c>
      <c r="H667" s="3" t="s">
        <v>31</v>
      </c>
      <c r="I667" s="3" t="s">
        <v>31</v>
      </c>
      <c r="J667" s="3" t="s">
        <v>31</v>
      </c>
      <c r="K667" s="7" t="s">
        <v>52</v>
      </c>
      <c r="L667" s="9">
        <v>25</v>
      </c>
      <c r="M667" s="9">
        <v>0</v>
      </c>
      <c r="N667" s="9">
        <f t="shared" si="57"/>
        <v>25</v>
      </c>
      <c r="O667" s="29">
        <f>M671</f>
        <v>102</v>
      </c>
      <c r="P667" s="29">
        <f>L667</f>
        <v>25</v>
      </c>
      <c r="Q667" s="29">
        <f>P667+O667</f>
        <v>127</v>
      </c>
      <c r="R667" s="11">
        <v>0</v>
      </c>
      <c r="S667" s="1">
        <v>0.15</v>
      </c>
      <c r="T667" s="1">
        <f t="shared" si="58"/>
        <v>0.15</v>
      </c>
      <c r="U667" s="12">
        <v>0</v>
      </c>
      <c r="V667" s="13">
        <v>31.929085000000001</v>
      </c>
      <c r="W667" s="14">
        <f t="shared" si="59"/>
        <v>11973.406874999999</v>
      </c>
      <c r="X667" s="14">
        <f>SUM(W667:W671)</f>
        <v>34738.152023400005</v>
      </c>
      <c r="Y667" s="14">
        <f>T667*V667/100*N667*100*100*((100-U667)/100)</f>
        <v>11973.406874999999</v>
      </c>
      <c r="Z667" s="15">
        <f>SUM(Y667:Y671)/10^6*10^4</f>
        <v>344.96068346400006</v>
      </c>
      <c r="AA667" s="16">
        <v>74.659977592057501</v>
      </c>
      <c r="AB667" s="5"/>
      <c r="AC667" s="1"/>
      <c r="AD667" s="28"/>
      <c r="AE667" s="28"/>
      <c r="AF667" s="3"/>
      <c r="AG667" s="7"/>
      <c r="AH667" s="7"/>
      <c r="AI667" s="3" t="s">
        <v>107</v>
      </c>
      <c r="AJ667" s="7" t="s">
        <v>76</v>
      </c>
      <c r="AK667" s="3"/>
      <c r="AL667" cm="1">
        <f t="array" ref="AL667">IF(getColor(V667) = 16777215, 0, 1)</f>
        <v>0</v>
      </c>
    </row>
    <row r="668" spans="1:38">
      <c r="A668" s="1">
        <v>667</v>
      </c>
      <c r="B668" s="3" t="s">
        <v>27</v>
      </c>
      <c r="C668" s="7" t="s">
        <v>330</v>
      </c>
      <c r="D668" s="7" t="s">
        <v>156</v>
      </c>
      <c r="E668" s="8">
        <v>55.945800000000006</v>
      </c>
      <c r="F668" s="8">
        <v>-131.14163333333332</v>
      </c>
      <c r="G668" s="9" t="s">
        <v>30</v>
      </c>
      <c r="H668" s="3" t="s">
        <v>31</v>
      </c>
      <c r="I668" s="3" t="s">
        <v>31</v>
      </c>
      <c r="J668" s="3" t="s">
        <v>31</v>
      </c>
      <c r="K668" s="7" t="s">
        <v>47</v>
      </c>
      <c r="L668" s="9">
        <v>0</v>
      </c>
      <c r="M668" s="9">
        <v>3</v>
      </c>
      <c r="N668" s="9">
        <f t="shared" si="57"/>
        <v>3</v>
      </c>
      <c r="O668" s="9"/>
      <c r="P668" s="9"/>
      <c r="Q668" s="25"/>
      <c r="R668" s="11">
        <v>0</v>
      </c>
      <c r="S668" s="1">
        <v>0.93</v>
      </c>
      <c r="T668" s="1">
        <f t="shared" si="58"/>
        <v>0.93</v>
      </c>
      <c r="U668" s="12">
        <v>1</v>
      </c>
      <c r="V668" s="13">
        <v>3.1475299999999997</v>
      </c>
      <c r="W668" s="14">
        <f t="shared" si="59"/>
        <v>869.37926129999994</v>
      </c>
      <c r="X668" s="25"/>
      <c r="Y668" s="14">
        <f>T668*V668/100*N668*100*100*((100-U668)/100)</f>
        <v>869.37926129999994</v>
      </c>
      <c r="Z668" s="3"/>
      <c r="AA668" s="3"/>
      <c r="AB668" s="5"/>
      <c r="AC668" s="5"/>
      <c r="AD668" s="28"/>
      <c r="AE668" s="28"/>
      <c r="AF668" s="3"/>
      <c r="AG668" s="7"/>
      <c r="AH668" s="7"/>
      <c r="AI668" s="3" t="s">
        <v>107</v>
      </c>
      <c r="AJ668" s="7" t="s">
        <v>47</v>
      </c>
      <c r="AK668" s="3"/>
      <c r="AL668" cm="1">
        <f t="array" ref="AL668">IF(getColor(V668) = 16777215, 0, 1)</f>
        <v>0</v>
      </c>
    </row>
    <row r="669" spans="1:38">
      <c r="A669" s="1">
        <v>668</v>
      </c>
      <c r="B669" s="3" t="s">
        <v>27</v>
      </c>
      <c r="C669" s="7" t="s">
        <v>330</v>
      </c>
      <c r="D669" s="7" t="s">
        <v>156</v>
      </c>
      <c r="E669" s="8">
        <v>55.945800000000006</v>
      </c>
      <c r="F669" s="8">
        <v>-131.14163333333332</v>
      </c>
      <c r="G669" s="9" t="s">
        <v>30</v>
      </c>
      <c r="H669" s="3" t="s">
        <v>31</v>
      </c>
      <c r="I669" s="3" t="s">
        <v>31</v>
      </c>
      <c r="J669" s="3" t="s">
        <v>31</v>
      </c>
      <c r="K669" s="7" t="s">
        <v>68</v>
      </c>
      <c r="L669" s="9">
        <v>3</v>
      </c>
      <c r="M669" s="9">
        <v>15</v>
      </c>
      <c r="N669" s="9">
        <f t="shared" si="57"/>
        <v>12</v>
      </c>
      <c r="O669" s="9"/>
      <c r="P669" s="9"/>
      <c r="Q669" s="25"/>
      <c r="R669" s="11">
        <v>0</v>
      </c>
      <c r="S669" s="1">
        <v>0.86</v>
      </c>
      <c r="T669" s="1">
        <f t="shared" si="58"/>
        <v>0.86</v>
      </c>
      <c r="U669" s="12">
        <v>13</v>
      </c>
      <c r="V669" s="13">
        <v>8.5060549999999999</v>
      </c>
      <c r="W669" s="14">
        <f t="shared" si="59"/>
        <v>7637.0764212000004</v>
      </c>
      <c r="X669" s="25"/>
      <c r="Y669" s="14">
        <f>T669*V669/100*N669*100*100*((100-U669)/100)</f>
        <v>7637.0764212000004</v>
      </c>
      <c r="Z669" s="3"/>
      <c r="AA669" s="3"/>
      <c r="AB669" s="5"/>
      <c r="AC669" s="1"/>
      <c r="AD669" s="28"/>
      <c r="AE669" s="28"/>
      <c r="AF669" s="3"/>
      <c r="AG669" s="7"/>
      <c r="AH669" s="7"/>
      <c r="AI669" s="3" t="s">
        <v>107</v>
      </c>
      <c r="AJ669" s="7" t="s">
        <v>68</v>
      </c>
      <c r="AK669" s="3"/>
      <c r="AL669" cm="1">
        <f t="array" ref="AL669">IF(getColor(V669) = 16777215, 0, 1)</f>
        <v>0</v>
      </c>
    </row>
    <row r="670" spans="1:38">
      <c r="A670" s="1">
        <v>669</v>
      </c>
      <c r="B670" s="3" t="s">
        <v>27</v>
      </c>
      <c r="C670" s="7" t="s">
        <v>330</v>
      </c>
      <c r="D670" s="7" t="s">
        <v>156</v>
      </c>
      <c r="E670" s="8">
        <v>55.945800000000006</v>
      </c>
      <c r="F670" s="8">
        <v>-131.14163333333332</v>
      </c>
      <c r="G670" s="9" t="s">
        <v>30</v>
      </c>
      <c r="H670" s="3" t="s">
        <v>31</v>
      </c>
      <c r="I670" s="3" t="s">
        <v>31</v>
      </c>
      <c r="J670" s="3" t="s">
        <v>31</v>
      </c>
      <c r="K670" s="7" t="s">
        <v>77</v>
      </c>
      <c r="L670" s="9">
        <v>15</v>
      </c>
      <c r="M670" s="9">
        <v>51</v>
      </c>
      <c r="N670" s="9">
        <f t="shared" si="57"/>
        <v>36</v>
      </c>
      <c r="O670" s="9"/>
      <c r="P670" s="9"/>
      <c r="Q670" s="25"/>
      <c r="R670" s="11">
        <v>0</v>
      </c>
      <c r="S670" s="1">
        <v>0.86</v>
      </c>
      <c r="T670" s="1">
        <f t="shared" si="58"/>
        <v>0.86</v>
      </c>
      <c r="U670" s="12">
        <v>31</v>
      </c>
      <c r="V670" s="13">
        <v>3.7847599999999999</v>
      </c>
      <c r="W670" s="14">
        <f t="shared" si="59"/>
        <v>8085.1557023999985</v>
      </c>
      <c r="X670" s="25"/>
      <c r="Y670" s="14">
        <f>T670*V670/100*N670*100*100*((100-U670)/100)</f>
        <v>8085.1557023999985</v>
      </c>
      <c r="Z670" s="3"/>
      <c r="AA670" s="3"/>
      <c r="AB670" s="5"/>
      <c r="AC670" s="1"/>
      <c r="AD670" s="28"/>
      <c r="AE670" s="28"/>
      <c r="AF670" s="3"/>
      <c r="AG670" s="7"/>
      <c r="AH670" s="7"/>
      <c r="AI670" s="3" t="s">
        <v>107</v>
      </c>
      <c r="AJ670" s="7" t="s">
        <v>78</v>
      </c>
      <c r="AK670" s="3"/>
      <c r="AL670" cm="1">
        <f t="array" ref="AL670">IF(getColor(V670) = 16777215, 0, 1)</f>
        <v>0</v>
      </c>
    </row>
    <row r="671" spans="1:38">
      <c r="A671" s="1">
        <v>670</v>
      </c>
      <c r="B671" s="3" t="s">
        <v>27</v>
      </c>
      <c r="C671" s="7" t="s">
        <v>330</v>
      </c>
      <c r="D671" s="7" t="s">
        <v>156</v>
      </c>
      <c r="E671" s="8">
        <v>55.945800000000006</v>
      </c>
      <c r="F671" s="8">
        <v>-131.14163333333332</v>
      </c>
      <c r="G671" s="9" t="s">
        <v>30</v>
      </c>
      <c r="H671" s="3" t="s">
        <v>31</v>
      </c>
      <c r="I671" s="3" t="s">
        <v>31</v>
      </c>
      <c r="J671" s="3" t="s">
        <v>31</v>
      </c>
      <c r="K671" s="7" t="s">
        <v>44</v>
      </c>
      <c r="L671" s="9">
        <v>51</v>
      </c>
      <c r="M671" s="9">
        <v>102</v>
      </c>
      <c r="N671" s="9">
        <f t="shared" si="57"/>
        <v>51</v>
      </c>
      <c r="O671" s="9"/>
      <c r="P671" s="9"/>
      <c r="Q671" s="25"/>
      <c r="R671" s="11">
        <v>0</v>
      </c>
      <c r="S671" s="1">
        <v>1.74</v>
      </c>
      <c r="T671" s="1">
        <f t="shared" si="58"/>
        <v>1.74</v>
      </c>
      <c r="U671" s="12">
        <v>45</v>
      </c>
      <c r="V671" s="13">
        <v>1.2648050000000002</v>
      </c>
      <c r="W671" s="14">
        <f t="shared" si="59"/>
        <v>6173.1337635000027</v>
      </c>
      <c r="X671" s="25"/>
      <c r="Y671" s="14">
        <f>IF(L671&gt;-100,W671-W671*(ABS(M671)-100)/(ABS(M671)-ABS(L671)),0)</f>
        <v>5931.0500865000022</v>
      </c>
      <c r="Z671" s="3"/>
      <c r="AA671" s="3"/>
      <c r="AB671" s="5"/>
      <c r="AC671" s="1"/>
      <c r="AD671" s="28"/>
      <c r="AE671" s="28"/>
      <c r="AF671" s="3"/>
      <c r="AG671" s="7"/>
      <c r="AH671" s="7"/>
      <c r="AI671" s="3" t="s">
        <v>107</v>
      </c>
      <c r="AJ671" s="7" t="s">
        <v>44</v>
      </c>
      <c r="AK671" s="3"/>
      <c r="AL671" cm="1">
        <f t="array" ref="AL671">IF(getColor(V671) = 16777215, 0, 1)</f>
        <v>0</v>
      </c>
    </row>
    <row r="672" spans="1:38">
      <c r="A672" s="1">
        <v>671</v>
      </c>
      <c r="B672" s="3" t="s">
        <v>27</v>
      </c>
      <c r="C672" s="7" t="s">
        <v>331</v>
      </c>
      <c r="D672" s="7" t="s">
        <v>302</v>
      </c>
      <c r="E672" s="8">
        <v>55.945800000000006</v>
      </c>
      <c r="F672" s="8">
        <v>-131.14163333333332</v>
      </c>
      <c r="G672" s="9" t="s">
        <v>30</v>
      </c>
      <c r="H672" s="3" t="s">
        <v>31</v>
      </c>
      <c r="I672" s="3" t="s">
        <v>31</v>
      </c>
      <c r="J672" s="3" t="s">
        <v>31</v>
      </c>
      <c r="K672" s="7" t="s">
        <v>53</v>
      </c>
      <c r="L672" s="9">
        <v>5</v>
      </c>
      <c r="M672" s="9">
        <v>0</v>
      </c>
      <c r="N672" s="9">
        <f t="shared" si="57"/>
        <v>5</v>
      </c>
      <c r="O672" s="29">
        <f>M676</f>
        <v>102</v>
      </c>
      <c r="P672" s="29">
        <f>L672</f>
        <v>5</v>
      </c>
      <c r="Q672" s="29">
        <f>P672+O672</f>
        <v>107</v>
      </c>
      <c r="R672" s="11">
        <v>0</v>
      </c>
      <c r="S672" s="1">
        <v>0.14000000000000001</v>
      </c>
      <c r="T672" s="1">
        <f t="shared" si="58"/>
        <v>0.14000000000000001</v>
      </c>
      <c r="U672" s="12">
        <v>0</v>
      </c>
      <c r="V672" s="13">
        <v>24.687835</v>
      </c>
      <c r="W672" s="14">
        <f t="shared" si="59"/>
        <v>1728.1484500000001</v>
      </c>
      <c r="X672" s="14">
        <f>SUM(W672:W676)</f>
        <v>45517.487683549996</v>
      </c>
      <c r="Y672" s="14">
        <f>T672*V672/100*N672*100*100*((100-U672)/100)</f>
        <v>1728.1484500000001</v>
      </c>
      <c r="Z672" s="15">
        <f>SUM(Y672:Y676)/10^6*10^4</f>
        <v>447.3193583565</v>
      </c>
      <c r="AA672" s="16">
        <v>39.052956653444987</v>
      </c>
      <c r="AB672" s="5"/>
      <c r="AC672" s="1"/>
      <c r="AD672" s="28"/>
      <c r="AE672" s="28"/>
      <c r="AF672" s="3"/>
      <c r="AG672" s="7"/>
      <c r="AH672" s="7"/>
      <c r="AI672" s="3" t="s">
        <v>75</v>
      </c>
      <c r="AJ672" s="7" t="s">
        <v>53</v>
      </c>
      <c r="AK672" s="3"/>
      <c r="AL672" cm="1">
        <f t="array" ref="AL672">IF(getColor(V672) = 16777215, 0, 1)</f>
        <v>0</v>
      </c>
    </row>
    <row r="673" spans="1:38">
      <c r="A673" s="1">
        <v>672</v>
      </c>
      <c r="B673" s="3" t="s">
        <v>27</v>
      </c>
      <c r="C673" s="7" t="s">
        <v>331</v>
      </c>
      <c r="D673" s="7" t="s">
        <v>302</v>
      </c>
      <c r="E673" s="8">
        <v>55.945800000000006</v>
      </c>
      <c r="F673" s="8">
        <v>-131.14163333333332</v>
      </c>
      <c r="G673" s="9" t="s">
        <v>30</v>
      </c>
      <c r="H673" s="3" t="s">
        <v>31</v>
      </c>
      <c r="I673" s="3" t="s">
        <v>31</v>
      </c>
      <c r="J673" s="3" t="s">
        <v>31</v>
      </c>
      <c r="K673" s="7" t="s">
        <v>47</v>
      </c>
      <c r="L673" s="9">
        <v>0</v>
      </c>
      <c r="M673" s="9">
        <v>3</v>
      </c>
      <c r="N673" s="9">
        <f t="shared" si="57"/>
        <v>3</v>
      </c>
      <c r="O673" s="9"/>
      <c r="P673" s="9"/>
      <c r="Q673" s="25"/>
      <c r="R673" s="11">
        <v>0</v>
      </c>
      <c r="S673" s="1">
        <v>1.31</v>
      </c>
      <c r="T673" s="1">
        <f t="shared" si="58"/>
        <v>1.31</v>
      </c>
      <c r="U673" s="12">
        <v>4</v>
      </c>
      <c r="V673" s="13">
        <v>3.5626950000000002</v>
      </c>
      <c r="W673" s="14">
        <f t="shared" si="59"/>
        <v>1344.1335696000001</v>
      </c>
      <c r="X673" s="25"/>
      <c r="Y673" s="14">
        <f>T673*V673/100*N673*100*100*((100-U673)/100)</f>
        <v>1344.1335696000001</v>
      </c>
      <c r="Z673" s="3"/>
      <c r="AA673" s="3"/>
      <c r="AB673" s="5"/>
      <c r="AC673" s="5"/>
      <c r="AD673" s="28"/>
      <c r="AE673" s="28"/>
      <c r="AF673" s="3"/>
      <c r="AG673" s="7"/>
      <c r="AH673" s="7"/>
      <c r="AI673" s="3" t="s">
        <v>75</v>
      </c>
      <c r="AJ673" s="7" t="s">
        <v>47</v>
      </c>
      <c r="AK673" s="3"/>
      <c r="AL673" cm="1">
        <f t="array" ref="AL673">IF(getColor(V673) = 16777215, 0, 1)</f>
        <v>0</v>
      </c>
    </row>
    <row r="674" spans="1:38">
      <c r="A674" s="1">
        <v>673</v>
      </c>
      <c r="B674" s="3" t="s">
        <v>27</v>
      </c>
      <c r="C674" s="7" t="s">
        <v>331</v>
      </c>
      <c r="D674" s="7" t="s">
        <v>302</v>
      </c>
      <c r="E674" s="8">
        <v>55.945800000000006</v>
      </c>
      <c r="F674" s="8">
        <v>-131.14163333333332</v>
      </c>
      <c r="G674" s="9" t="s">
        <v>30</v>
      </c>
      <c r="H674" s="3" t="s">
        <v>31</v>
      </c>
      <c r="I674" s="3" t="s">
        <v>31</v>
      </c>
      <c r="J674" s="3" t="s">
        <v>31</v>
      </c>
      <c r="K674" s="7" t="s">
        <v>77</v>
      </c>
      <c r="L674" s="9">
        <v>3</v>
      </c>
      <c r="M674" s="9">
        <v>15</v>
      </c>
      <c r="N674" s="9">
        <f t="shared" si="57"/>
        <v>12</v>
      </c>
      <c r="O674" s="9"/>
      <c r="P674" s="9"/>
      <c r="Q674" s="25"/>
      <c r="R674" s="11">
        <v>0</v>
      </c>
      <c r="S674" s="1">
        <v>1.19</v>
      </c>
      <c r="T674" s="1">
        <f t="shared" si="58"/>
        <v>1.19</v>
      </c>
      <c r="U674" s="12">
        <v>20</v>
      </c>
      <c r="V674" s="13">
        <v>6.6522949999999996</v>
      </c>
      <c r="W674" s="14">
        <f t="shared" si="59"/>
        <v>7599.5818079999999</v>
      </c>
      <c r="X674" s="25"/>
      <c r="Y674" s="14">
        <f>T674*V674/100*N674*100*100*((100-U674)/100)</f>
        <v>7599.5818079999999</v>
      </c>
      <c r="Z674" s="3"/>
      <c r="AA674" s="3"/>
      <c r="AB674" s="5"/>
      <c r="AC674" s="1"/>
      <c r="AD674" s="28"/>
      <c r="AE674" s="28"/>
      <c r="AF674" s="3"/>
      <c r="AG674" s="7"/>
      <c r="AH674" s="7"/>
      <c r="AI674" s="3" t="s">
        <v>75</v>
      </c>
      <c r="AJ674" s="7" t="s">
        <v>78</v>
      </c>
      <c r="AK674" s="3"/>
      <c r="AL674" cm="1">
        <f t="array" ref="AL674">IF(getColor(V674) = 16777215, 0, 1)</f>
        <v>0</v>
      </c>
    </row>
    <row r="675" spans="1:38">
      <c r="A675" s="1">
        <v>674</v>
      </c>
      <c r="B675" s="3" t="s">
        <v>27</v>
      </c>
      <c r="C675" s="7" t="s">
        <v>331</v>
      </c>
      <c r="D675" s="7" t="s">
        <v>302</v>
      </c>
      <c r="E675" s="8">
        <v>55.945800000000006</v>
      </c>
      <c r="F675" s="8">
        <v>-131.14163333333332</v>
      </c>
      <c r="G675" s="9" t="s">
        <v>30</v>
      </c>
      <c r="H675" s="3" t="s">
        <v>31</v>
      </c>
      <c r="I675" s="3" t="s">
        <v>31</v>
      </c>
      <c r="J675" s="3" t="s">
        <v>31</v>
      </c>
      <c r="K675" s="7" t="s">
        <v>41</v>
      </c>
      <c r="L675" s="9">
        <v>15</v>
      </c>
      <c r="M675" s="9">
        <v>41</v>
      </c>
      <c r="N675" s="9">
        <f t="shared" si="57"/>
        <v>26</v>
      </c>
      <c r="O675" s="9"/>
      <c r="P675" s="9"/>
      <c r="Q675" s="25"/>
      <c r="R675" s="11">
        <v>2.0699999999999998</v>
      </c>
      <c r="S675" s="1">
        <v>1.46</v>
      </c>
      <c r="T675" s="1">
        <f t="shared" si="58"/>
        <v>2.0699999999999998</v>
      </c>
      <c r="U675" s="12">
        <v>50</v>
      </c>
      <c r="V675" s="13">
        <v>4.0454450000000008</v>
      </c>
      <c r="W675" s="14">
        <f t="shared" si="59"/>
        <v>10886.292495000002</v>
      </c>
      <c r="X675" s="25"/>
      <c r="Y675" s="14">
        <f>T675*V675/100*N675*100*100*((100-U675)/100)</f>
        <v>10886.292495000002</v>
      </c>
      <c r="Z675" s="3"/>
      <c r="AA675" s="3"/>
      <c r="AB675" s="5"/>
      <c r="AC675" s="1"/>
      <c r="AD675" s="28"/>
      <c r="AE675" s="28"/>
      <c r="AF675" s="3"/>
      <c r="AG675" s="7"/>
      <c r="AH675" s="7"/>
      <c r="AI675" s="3" t="s">
        <v>75</v>
      </c>
      <c r="AJ675" s="7" t="s">
        <v>61</v>
      </c>
      <c r="AK675" s="3"/>
      <c r="AL675" cm="1">
        <f t="array" ref="AL675">IF(getColor(V675) = 16777215, 0, 1)</f>
        <v>0</v>
      </c>
    </row>
    <row r="676" spans="1:38">
      <c r="A676" s="1">
        <v>675</v>
      </c>
      <c r="B676" s="3" t="s">
        <v>27</v>
      </c>
      <c r="C676" s="7" t="s">
        <v>331</v>
      </c>
      <c r="D676" s="7" t="s">
        <v>302</v>
      </c>
      <c r="E676" s="8">
        <v>55.945800000000006</v>
      </c>
      <c r="F676" s="8">
        <v>-131.14163333333332</v>
      </c>
      <c r="G676" s="9" t="s">
        <v>30</v>
      </c>
      <c r="H676" s="3" t="s">
        <v>31</v>
      </c>
      <c r="I676" s="3" t="s">
        <v>31</v>
      </c>
      <c r="J676" s="3" t="s">
        <v>31</v>
      </c>
      <c r="K676" s="7" t="s">
        <v>44</v>
      </c>
      <c r="L676" s="9">
        <v>41</v>
      </c>
      <c r="M676" s="9">
        <v>102</v>
      </c>
      <c r="N676" s="9">
        <f t="shared" si="57"/>
        <v>61</v>
      </c>
      <c r="O676" s="9"/>
      <c r="P676" s="9"/>
      <c r="Q676" s="25"/>
      <c r="R676" s="11">
        <v>0</v>
      </c>
      <c r="S676" s="1">
        <v>1.91</v>
      </c>
      <c r="T676" s="1">
        <f t="shared" si="58"/>
        <v>1.91</v>
      </c>
      <c r="U676" s="12">
        <v>41</v>
      </c>
      <c r="V676" s="13">
        <v>3.485455</v>
      </c>
      <c r="W676" s="14">
        <f t="shared" si="59"/>
        <v>23959.331360949996</v>
      </c>
      <c r="X676" s="25"/>
      <c r="Y676" s="14">
        <f>IF(L676&gt;-100,W676-W676*(ABS(M676)-100)/(ABS(M676)-ABS(L676)),0)</f>
        <v>23173.779513049998</v>
      </c>
      <c r="Z676" s="3"/>
      <c r="AA676" s="3"/>
      <c r="AB676" s="5"/>
      <c r="AC676" s="1"/>
      <c r="AD676" s="28"/>
      <c r="AE676" s="28"/>
      <c r="AF676" s="3"/>
      <c r="AG676" s="7"/>
      <c r="AH676" s="7"/>
      <c r="AI676" s="3" t="s">
        <v>75</v>
      </c>
      <c r="AJ676" s="7" t="s">
        <v>44</v>
      </c>
      <c r="AK676" s="3"/>
      <c r="AL676" cm="1">
        <f t="array" ref="AL676">IF(getColor(V676) = 16777215, 0, 1)</f>
        <v>0</v>
      </c>
    </row>
    <row r="677" spans="1:38">
      <c r="A677" s="1">
        <v>676</v>
      </c>
      <c r="B677" s="3" t="s">
        <v>27</v>
      </c>
      <c r="C677" s="7" t="s">
        <v>332</v>
      </c>
      <c r="D677" s="7" t="s">
        <v>333</v>
      </c>
      <c r="E677" s="8">
        <v>55.933300000000003</v>
      </c>
      <c r="F677" s="8">
        <v>-132.16659999999999</v>
      </c>
      <c r="G677" s="9" t="s">
        <v>30</v>
      </c>
      <c r="H677" s="3" t="s">
        <v>31</v>
      </c>
      <c r="I677" s="3" t="s">
        <v>31</v>
      </c>
      <c r="J677" s="3" t="s">
        <v>31</v>
      </c>
      <c r="K677" s="7" t="s">
        <v>32</v>
      </c>
      <c r="L677" s="9">
        <v>0</v>
      </c>
      <c r="M677" s="9">
        <v>23</v>
      </c>
      <c r="N677" s="9">
        <f t="shared" si="57"/>
        <v>23</v>
      </c>
      <c r="O677" s="10">
        <f>M680-P677</f>
        <v>58</v>
      </c>
      <c r="P677" s="10">
        <f>M679</f>
        <v>94</v>
      </c>
      <c r="Q677" s="10">
        <f>O677+P677</f>
        <v>152</v>
      </c>
      <c r="R677" s="11">
        <v>0</v>
      </c>
      <c r="S677" s="1">
        <v>0.12</v>
      </c>
      <c r="T677" s="1">
        <f t="shared" si="58"/>
        <v>0.12</v>
      </c>
      <c r="U677" s="12">
        <v>0</v>
      </c>
      <c r="V677" s="13">
        <v>38.828790000000005</v>
      </c>
      <c r="W677" s="14">
        <f t="shared" si="59"/>
        <v>10716.746040000002</v>
      </c>
      <c r="X677" s="14">
        <f>SUM(W677:W680)</f>
        <v>70353.55126800001</v>
      </c>
      <c r="Y677" s="14">
        <f>T677*V677/100*N677*100*100*((100-U677)/100)</f>
        <v>10716.746040000002</v>
      </c>
      <c r="Z677" s="15">
        <f>SUM(Y677:Y680)/10^6*10^4</f>
        <v>501.78976848000002</v>
      </c>
      <c r="AA677" s="16">
        <v>170.56113864219313</v>
      </c>
      <c r="AB677" s="5"/>
      <c r="AC677" s="1"/>
      <c r="AD677" s="28"/>
      <c r="AE677" s="28"/>
      <c r="AF677" s="3"/>
      <c r="AG677" s="7"/>
      <c r="AH677" s="7"/>
      <c r="AI677" s="3" t="s">
        <v>286</v>
      </c>
      <c r="AJ677" s="7" t="s">
        <v>34</v>
      </c>
      <c r="AK677" s="3"/>
      <c r="AL677" cm="1">
        <f t="array" ref="AL677">IF(getColor(V677) = 16777215, 0, 1)</f>
        <v>0</v>
      </c>
    </row>
    <row r="678" spans="1:38">
      <c r="A678" s="1">
        <v>677</v>
      </c>
      <c r="B678" s="3" t="s">
        <v>27</v>
      </c>
      <c r="C678" s="7" t="s">
        <v>332</v>
      </c>
      <c r="D678" s="7" t="s">
        <v>333</v>
      </c>
      <c r="E678" s="8">
        <v>55.933300000000003</v>
      </c>
      <c r="F678" s="8">
        <v>-132.16659999999999</v>
      </c>
      <c r="G678" s="9" t="s">
        <v>30</v>
      </c>
      <c r="H678" s="3" t="s">
        <v>31</v>
      </c>
      <c r="I678" s="3" t="s">
        <v>31</v>
      </c>
      <c r="J678" s="3" t="s">
        <v>31</v>
      </c>
      <c r="K678" s="7" t="s">
        <v>52</v>
      </c>
      <c r="L678" s="9">
        <v>23</v>
      </c>
      <c r="M678" s="9">
        <v>53</v>
      </c>
      <c r="N678" s="9">
        <f t="shared" si="57"/>
        <v>30</v>
      </c>
      <c r="O678" s="9"/>
      <c r="P678" s="9"/>
      <c r="Q678" s="25"/>
      <c r="R678" s="11">
        <v>0</v>
      </c>
      <c r="S678" s="1">
        <v>0.15</v>
      </c>
      <c r="T678" s="1">
        <f t="shared" si="58"/>
        <v>0.15</v>
      </c>
      <c r="U678" s="12">
        <v>0</v>
      </c>
      <c r="V678" s="13">
        <v>37.792755000000007</v>
      </c>
      <c r="W678" s="14">
        <f t="shared" si="59"/>
        <v>17006.739750000004</v>
      </c>
      <c r="X678" s="25"/>
      <c r="Y678" s="14">
        <f>T678*V678/100*N678*100*100*((100-U678)/100)</f>
        <v>17006.739750000004</v>
      </c>
      <c r="Z678" s="3"/>
      <c r="AA678" s="3"/>
      <c r="AB678" s="5"/>
      <c r="AC678" s="5"/>
      <c r="AD678" s="28"/>
      <c r="AE678" s="28"/>
      <c r="AF678" s="3"/>
      <c r="AG678" s="7"/>
      <c r="AH678" s="7"/>
      <c r="AI678" s="3" t="s">
        <v>286</v>
      </c>
      <c r="AJ678" s="7" t="s">
        <v>76</v>
      </c>
      <c r="AK678" s="3"/>
      <c r="AL678" cm="1">
        <f t="array" ref="AL678">IF(getColor(V678) = 16777215, 0, 1)</f>
        <v>0</v>
      </c>
    </row>
    <row r="679" spans="1:38">
      <c r="A679" s="1">
        <v>678</v>
      </c>
      <c r="B679" s="3" t="s">
        <v>27</v>
      </c>
      <c r="C679" s="7" t="s">
        <v>332</v>
      </c>
      <c r="D679" s="7" t="s">
        <v>333</v>
      </c>
      <c r="E679" s="8">
        <v>55.933300000000003</v>
      </c>
      <c r="F679" s="8">
        <v>-132.16659999999999</v>
      </c>
      <c r="G679" s="9" t="s">
        <v>30</v>
      </c>
      <c r="H679" s="3" t="s">
        <v>31</v>
      </c>
      <c r="I679" s="3" t="s">
        <v>31</v>
      </c>
      <c r="J679" s="3" t="s">
        <v>31</v>
      </c>
      <c r="K679" s="7" t="s">
        <v>35</v>
      </c>
      <c r="L679" s="9">
        <v>53</v>
      </c>
      <c r="M679" s="9">
        <v>94</v>
      </c>
      <c r="N679" s="9">
        <f t="shared" si="57"/>
        <v>41</v>
      </c>
      <c r="O679" s="9"/>
      <c r="P679" s="9"/>
      <c r="Q679" s="25"/>
      <c r="R679" s="11">
        <v>0</v>
      </c>
      <c r="S679" s="1">
        <v>0.12</v>
      </c>
      <c r="T679" s="1">
        <f t="shared" si="58"/>
        <v>0.12</v>
      </c>
      <c r="U679" s="12">
        <v>0</v>
      </c>
      <c r="V679" s="13">
        <v>40.909869</v>
      </c>
      <c r="W679" s="14">
        <f t="shared" si="59"/>
        <v>20127.655548000002</v>
      </c>
      <c r="X679" s="25"/>
      <c r="Y679" s="14">
        <f>T679*V679/100*N679*100*100*((100-U679)/100)</f>
        <v>20127.655548000002</v>
      </c>
      <c r="Z679" s="3"/>
      <c r="AA679" s="3"/>
      <c r="AB679" s="5"/>
      <c r="AC679" s="1"/>
      <c r="AD679" s="28"/>
      <c r="AE679" s="28"/>
      <c r="AF679" s="3"/>
      <c r="AG679" s="7"/>
      <c r="AH679" s="7"/>
      <c r="AI679" s="3" t="s">
        <v>286</v>
      </c>
      <c r="AJ679" s="7" t="s">
        <v>36</v>
      </c>
      <c r="AK679" s="3"/>
      <c r="AL679" cm="1">
        <f t="array" ref="AL679">IF(getColor(V679) = 16777215, 0, 1)</f>
        <v>0</v>
      </c>
    </row>
    <row r="680" spans="1:38">
      <c r="A680" s="1">
        <v>679</v>
      </c>
      <c r="B680" s="3" t="s">
        <v>27</v>
      </c>
      <c r="C680" s="7" t="s">
        <v>332</v>
      </c>
      <c r="D680" s="7" t="s">
        <v>333</v>
      </c>
      <c r="E680" s="8">
        <v>55.933300000000003</v>
      </c>
      <c r="F680" s="8">
        <v>-132.16659999999999</v>
      </c>
      <c r="G680" s="9" t="s">
        <v>30</v>
      </c>
      <c r="H680" s="3" t="s">
        <v>31</v>
      </c>
      <c r="I680" s="3" t="s">
        <v>31</v>
      </c>
      <c r="J680" s="3" t="s">
        <v>31</v>
      </c>
      <c r="K680" s="7" t="s">
        <v>38</v>
      </c>
      <c r="L680" s="9">
        <v>94</v>
      </c>
      <c r="M680" s="9">
        <v>152</v>
      </c>
      <c r="N680" s="9">
        <f t="shared" si="57"/>
        <v>58</v>
      </c>
      <c r="O680" s="9"/>
      <c r="P680" s="9"/>
      <c r="Q680" s="25"/>
      <c r="R680" s="11">
        <v>0</v>
      </c>
      <c r="S680" s="1">
        <v>1.74</v>
      </c>
      <c r="T680" s="1">
        <f t="shared" si="58"/>
        <v>1.74</v>
      </c>
      <c r="U680" s="12">
        <v>25</v>
      </c>
      <c r="V680" s="13">
        <v>2.9729700000000001</v>
      </c>
      <c r="W680" s="14">
        <f t="shared" si="59"/>
        <v>22502.409930000002</v>
      </c>
      <c r="X680" s="25"/>
      <c r="Y680" s="14">
        <f>IF(L680&gt;-100,W680-W680*(ABS(M680)-100)/(ABS(M680)-ABS(L680)),0)</f>
        <v>2327.8355100000008</v>
      </c>
      <c r="Z680" s="3"/>
      <c r="AA680" s="3"/>
      <c r="AB680" s="5"/>
      <c r="AC680" s="1"/>
      <c r="AD680" s="28"/>
      <c r="AE680" s="28"/>
      <c r="AF680" s="3"/>
      <c r="AG680" s="7"/>
      <c r="AH680" s="7"/>
      <c r="AI680" s="3" t="s">
        <v>286</v>
      </c>
      <c r="AJ680" s="7" t="s">
        <v>38</v>
      </c>
      <c r="AK680" s="3"/>
      <c r="AL680" cm="1">
        <f t="array" ref="AL680">IF(getColor(V680) = 16777215, 0, 1)</f>
        <v>0</v>
      </c>
    </row>
    <row r="681" spans="1:38">
      <c r="A681" s="1">
        <v>680</v>
      </c>
      <c r="B681" s="3" t="s">
        <v>27</v>
      </c>
      <c r="C681" s="7" t="s">
        <v>334</v>
      </c>
      <c r="D681" s="7" t="s">
        <v>145</v>
      </c>
      <c r="E681" s="8">
        <v>55.963888888888889</v>
      </c>
      <c r="F681" s="8">
        <v>-133.61249999999998</v>
      </c>
      <c r="G681" s="9" t="s">
        <v>30</v>
      </c>
      <c r="H681" s="3" t="s">
        <v>31</v>
      </c>
      <c r="I681" s="3" t="s">
        <v>31</v>
      </c>
      <c r="J681" s="3" t="s">
        <v>31</v>
      </c>
      <c r="K681" s="7" t="s">
        <v>51</v>
      </c>
      <c r="L681" s="9">
        <v>0</v>
      </c>
      <c r="M681" s="9">
        <v>6</v>
      </c>
      <c r="N681" s="9">
        <f t="shared" si="57"/>
        <v>6</v>
      </c>
      <c r="O681" s="10">
        <f>M683-P681</f>
        <v>6</v>
      </c>
      <c r="P681" s="10">
        <f>M682</f>
        <v>26</v>
      </c>
      <c r="Q681" s="10">
        <f>O681+P681</f>
        <v>32</v>
      </c>
      <c r="R681" s="11">
        <v>0</v>
      </c>
      <c r="S681" s="1">
        <v>0.12</v>
      </c>
      <c r="T681" s="1">
        <f t="shared" si="58"/>
        <v>0.12</v>
      </c>
      <c r="U681" s="12">
        <v>0</v>
      </c>
      <c r="V681" s="13">
        <v>45.972927000000006</v>
      </c>
      <c r="W681" s="14">
        <f t="shared" si="59"/>
        <v>3310.0507440000001</v>
      </c>
      <c r="X681" s="14">
        <f>SUM(W681:W683)</f>
        <v>29717.907579359999</v>
      </c>
      <c r="Y681" s="14">
        <f t="shared" ref="Y681:Y686" si="61">T681*V681/100*N681*100*100*((100-U681)/100)</f>
        <v>3310.0507440000001</v>
      </c>
      <c r="Z681" s="15">
        <f>SUM(Y681:Y683)/10^6*10^4</f>
        <v>297.17907579360002</v>
      </c>
      <c r="AA681" s="16">
        <v>53.569293558874676</v>
      </c>
      <c r="AB681" s="5"/>
      <c r="AC681" s="1"/>
      <c r="AD681" s="28"/>
      <c r="AE681" s="28"/>
      <c r="AF681" s="3"/>
      <c r="AG681" s="7"/>
      <c r="AH681" s="7"/>
      <c r="AI681" s="3" t="s">
        <v>146</v>
      </c>
      <c r="AJ681" s="7" t="s">
        <v>67</v>
      </c>
      <c r="AK681" s="3"/>
      <c r="AL681" cm="1">
        <f t="array" ref="AL681">IF(getColor(V681) = 16777215, 0, 1)</f>
        <v>0</v>
      </c>
    </row>
    <row r="682" spans="1:38">
      <c r="A682" s="1">
        <v>681</v>
      </c>
      <c r="B682" s="3" t="s">
        <v>27</v>
      </c>
      <c r="C682" s="7" t="s">
        <v>334</v>
      </c>
      <c r="D682" s="7" t="s">
        <v>145</v>
      </c>
      <c r="E682" s="8">
        <v>55.963888888888889</v>
      </c>
      <c r="F682" s="8">
        <v>-133.61249999999998</v>
      </c>
      <c r="G682" s="9" t="s">
        <v>30</v>
      </c>
      <c r="H682" s="3" t="s">
        <v>31</v>
      </c>
      <c r="I682" s="3" t="s">
        <v>31</v>
      </c>
      <c r="J682" s="3" t="s">
        <v>31</v>
      </c>
      <c r="K682" s="7" t="s">
        <v>52</v>
      </c>
      <c r="L682" s="9">
        <v>6</v>
      </c>
      <c r="M682" s="9">
        <v>26</v>
      </c>
      <c r="N682" s="9">
        <f t="shared" si="57"/>
        <v>20</v>
      </c>
      <c r="O682" s="9"/>
      <c r="P682" s="9"/>
      <c r="Q682" s="25"/>
      <c r="R682" s="11">
        <v>0</v>
      </c>
      <c r="S682" s="1">
        <v>0.15</v>
      </c>
      <c r="T682" s="1">
        <f t="shared" si="58"/>
        <v>0.15</v>
      </c>
      <c r="U682" s="12">
        <v>0</v>
      </c>
      <c r="V682" s="13">
        <v>39.990951000000003</v>
      </c>
      <c r="W682" s="14">
        <f t="shared" si="59"/>
        <v>11997.2853</v>
      </c>
      <c r="X682" s="25"/>
      <c r="Y682" s="14">
        <f t="shared" si="61"/>
        <v>11997.2853</v>
      </c>
      <c r="Z682" s="3"/>
      <c r="AA682" s="3"/>
      <c r="AB682" s="5"/>
      <c r="AC682" s="5"/>
      <c r="AD682" s="28"/>
      <c r="AE682" s="28"/>
      <c r="AF682" s="3"/>
      <c r="AG682" s="7"/>
      <c r="AH682" s="7"/>
      <c r="AI682" s="3" t="s">
        <v>146</v>
      </c>
      <c r="AJ682" s="7" t="s">
        <v>76</v>
      </c>
      <c r="AK682" s="3"/>
      <c r="AL682" cm="1">
        <f t="array" ref="AL682">IF(getColor(V682) = 16777215, 0, 1)</f>
        <v>0</v>
      </c>
    </row>
    <row r="683" spans="1:38">
      <c r="A683" s="1">
        <v>682</v>
      </c>
      <c r="B683" s="3" t="s">
        <v>27</v>
      </c>
      <c r="C683" s="7" t="s">
        <v>334</v>
      </c>
      <c r="D683" s="7" t="s">
        <v>145</v>
      </c>
      <c r="E683" s="8">
        <v>55.963888888888889</v>
      </c>
      <c r="F683" s="8">
        <v>-133.61249999999998</v>
      </c>
      <c r="G683" s="9" t="s">
        <v>30</v>
      </c>
      <c r="H683" s="3" t="s">
        <v>31</v>
      </c>
      <c r="I683" s="3" t="s">
        <v>31</v>
      </c>
      <c r="J683" s="3" t="s">
        <v>31</v>
      </c>
      <c r="K683" s="7" t="s">
        <v>79</v>
      </c>
      <c r="L683" s="9">
        <v>26</v>
      </c>
      <c r="M683" s="9">
        <v>32</v>
      </c>
      <c r="N683" s="9">
        <f t="shared" si="57"/>
        <v>6</v>
      </c>
      <c r="O683" s="9"/>
      <c r="P683" s="9"/>
      <c r="Q683" s="25"/>
      <c r="R683" s="11">
        <v>0</v>
      </c>
      <c r="S683" s="1">
        <v>1.71</v>
      </c>
      <c r="T683" s="1">
        <f t="shared" si="58"/>
        <v>1.71</v>
      </c>
      <c r="U683" s="12">
        <v>13</v>
      </c>
      <c r="V683" s="13">
        <v>16.144128000000002</v>
      </c>
      <c r="W683" s="14">
        <f t="shared" si="59"/>
        <v>14410.571535360001</v>
      </c>
      <c r="X683" s="25"/>
      <c r="Y683" s="14">
        <f t="shared" si="61"/>
        <v>14410.571535360001</v>
      </c>
      <c r="Z683" s="3"/>
      <c r="AA683" s="3"/>
      <c r="AB683" s="5"/>
      <c r="AC683" s="1"/>
      <c r="AD683" s="28"/>
      <c r="AE683" s="28"/>
      <c r="AF683" s="3"/>
      <c r="AG683" s="7"/>
      <c r="AH683" s="7"/>
      <c r="AI683" s="3" t="s">
        <v>146</v>
      </c>
      <c r="AJ683" s="7" t="s">
        <v>79</v>
      </c>
      <c r="AK683" s="3"/>
      <c r="AL683" cm="1">
        <f t="array" ref="AL683">IF(getColor(V683) = 16777215, 0, 1)</f>
        <v>0</v>
      </c>
    </row>
    <row r="684" spans="1:38">
      <c r="A684" s="1">
        <v>683</v>
      </c>
      <c r="B684" s="3" t="s">
        <v>27</v>
      </c>
      <c r="C684" s="7" t="s">
        <v>335</v>
      </c>
      <c r="D684" s="7" t="s">
        <v>336</v>
      </c>
      <c r="E684" s="8">
        <v>55.963888888888889</v>
      </c>
      <c r="F684" s="8">
        <v>-133.61249999999998</v>
      </c>
      <c r="G684" s="9" t="s">
        <v>30</v>
      </c>
      <c r="H684" s="3" t="s">
        <v>31</v>
      </c>
      <c r="I684" s="3" t="s">
        <v>31</v>
      </c>
      <c r="J684" s="3" t="s">
        <v>31</v>
      </c>
      <c r="K684" s="7" t="s">
        <v>51</v>
      </c>
      <c r="L684" s="9">
        <v>0</v>
      </c>
      <c r="M684" s="9">
        <v>10</v>
      </c>
      <c r="N684" s="9">
        <f t="shared" si="57"/>
        <v>10</v>
      </c>
      <c r="O684" s="10">
        <f>M687-P684</f>
        <v>37</v>
      </c>
      <c r="P684" s="10">
        <f>M686</f>
        <v>84</v>
      </c>
      <c r="Q684" s="10">
        <f>O684+P684</f>
        <v>121</v>
      </c>
      <c r="R684" s="11">
        <v>0</v>
      </c>
      <c r="S684" s="1">
        <v>0.12</v>
      </c>
      <c r="T684" s="1">
        <f t="shared" si="58"/>
        <v>0.12</v>
      </c>
      <c r="U684" s="12">
        <v>0</v>
      </c>
      <c r="V684" s="13">
        <v>48.333285000000004</v>
      </c>
      <c r="W684" s="14">
        <f t="shared" si="59"/>
        <v>5799.9942000000001</v>
      </c>
      <c r="X684" s="14">
        <f>SUM(W684:W694)</f>
        <v>197880.05031987003</v>
      </c>
      <c r="Y684" s="14">
        <f t="shared" si="61"/>
        <v>5799.9942000000001</v>
      </c>
      <c r="Z684" s="15">
        <f>SUM(Y684:Y687)/10^6*10^4</f>
        <v>713.93146985160001</v>
      </c>
      <c r="AA684" s="16">
        <v>160.22615824702001</v>
      </c>
      <c r="AB684" s="5"/>
      <c r="AC684" s="1"/>
      <c r="AD684" s="28"/>
      <c r="AE684" s="28"/>
      <c r="AF684" s="3"/>
      <c r="AG684" s="7"/>
      <c r="AH684" s="7"/>
      <c r="AI684" s="3" t="s">
        <v>146</v>
      </c>
      <c r="AJ684" s="7" t="s">
        <v>67</v>
      </c>
      <c r="AK684" s="3"/>
      <c r="AL684" cm="1">
        <f t="array" ref="AL684">IF(getColor(V684) = 16777215, 0, 1)</f>
        <v>0</v>
      </c>
    </row>
    <row r="685" spans="1:38">
      <c r="A685" s="1">
        <v>684</v>
      </c>
      <c r="B685" s="3" t="s">
        <v>27</v>
      </c>
      <c r="C685" s="7" t="s">
        <v>335</v>
      </c>
      <c r="D685" s="7" t="s">
        <v>336</v>
      </c>
      <c r="E685" s="8">
        <v>55.963888888888889</v>
      </c>
      <c r="F685" s="8">
        <v>-133.61249999999998</v>
      </c>
      <c r="G685" s="9" t="s">
        <v>30</v>
      </c>
      <c r="H685" s="3" t="s">
        <v>31</v>
      </c>
      <c r="I685" s="3" t="s">
        <v>31</v>
      </c>
      <c r="J685" s="3" t="s">
        <v>31</v>
      </c>
      <c r="K685" s="7" t="s">
        <v>179</v>
      </c>
      <c r="L685" s="9">
        <v>10</v>
      </c>
      <c r="M685" s="9">
        <v>41</v>
      </c>
      <c r="N685" s="9">
        <f t="shared" si="57"/>
        <v>31</v>
      </c>
      <c r="O685" s="9"/>
      <c r="P685" s="9"/>
      <c r="Q685" s="25"/>
      <c r="R685" s="11">
        <v>0</v>
      </c>
      <c r="S685" s="1">
        <v>0.15</v>
      </c>
      <c r="T685" s="1">
        <f t="shared" si="58"/>
        <v>0.15</v>
      </c>
      <c r="U685" s="12">
        <v>0</v>
      </c>
      <c r="V685" s="13">
        <v>48.117069000000001</v>
      </c>
      <c r="W685" s="14">
        <f t="shared" si="59"/>
        <v>22374.437084999998</v>
      </c>
      <c r="X685" s="25"/>
      <c r="Y685" s="14">
        <f t="shared" si="61"/>
        <v>22374.437084999998</v>
      </c>
      <c r="Z685" s="3"/>
      <c r="AA685" s="3"/>
      <c r="AB685" s="5"/>
      <c r="AC685" s="5"/>
      <c r="AD685" s="28"/>
      <c r="AE685" s="28"/>
      <c r="AF685" s="3"/>
      <c r="AG685" s="7"/>
      <c r="AH685" s="7"/>
      <c r="AI685" s="3" t="s">
        <v>146</v>
      </c>
      <c r="AJ685" s="7" t="s">
        <v>180</v>
      </c>
      <c r="AK685" s="3"/>
      <c r="AL685" cm="1">
        <f t="array" ref="AL685">IF(getColor(V685) = 16777215, 0, 1)</f>
        <v>0</v>
      </c>
    </row>
    <row r="686" spans="1:38">
      <c r="A686" s="1">
        <v>685</v>
      </c>
      <c r="B686" s="3" t="s">
        <v>27</v>
      </c>
      <c r="C686" s="7" t="s">
        <v>335</v>
      </c>
      <c r="D686" s="7" t="s">
        <v>336</v>
      </c>
      <c r="E686" s="8">
        <v>55.963888888888889</v>
      </c>
      <c r="F686" s="8">
        <v>-133.61249999999998</v>
      </c>
      <c r="G686" s="9" t="s">
        <v>30</v>
      </c>
      <c r="H686" s="3" t="s">
        <v>31</v>
      </c>
      <c r="I686" s="3" t="s">
        <v>31</v>
      </c>
      <c r="J686" s="3" t="s">
        <v>31</v>
      </c>
      <c r="K686" s="7" t="s">
        <v>132</v>
      </c>
      <c r="L686" s="9">
        <v>41</v>
      </c>
      <c r="M686" s="9">
        <v>84</v>
      </c>
      <c r="N686" s="9">
        <f t="shared" si="57"/>
        <v>43</v>
      </c>
      <c r="O686" s="9"/>
      <c r="P686" s="9"/>
      <c r="Q686" s="25"/>
      <c r="R686" s="11">
        <v>0</v>
      </c>
      <c r="S686" s="1">
        <v>0.15</v>
      </c>
      <c r="T686" s="1">
        <f t="shared" si="58"/>
        <v>0.15</v>
      </c>
      <c r="U686" s="12">
        <v>0</v>
      </c>
      <c r="V686" s="13">
        <v>29.513483999999998</v>
      </c>
      <c r="W686" s="14">
        <f t="shared" si="59"/>
        <v>19036.197179999999</v>
      </c>
      <c r="X686" s="25"/>
      <c r="Y686" s="14">
        <f t="shared" si="61"/>
        <v>19036.197179999999</v>
      </c>
      <c r="Z686" s="3"/>
      <c r="AA686" s="3"/>
      <c r="AB686" s="5"/>
      <c r="AC686" s="1"/>
      <c r="AD686" s="28"/>
      <c r="AE686" s="28"/>
      <c r="AF686" s="3"/>
      <c r="AG686" s="7"/>
      <c r="AH686" s="7"/>
      <c r="AI686" s="3" t="s">
        <v>146</v>
      </c>
      <c r="AJ686" s="7" t="s">
        <v>133</v>
      </c>
      <c r="AK686" s="3"/>
      <c r="AL686" cm="1">
        <f t="array" ref="AL686">IF(getColor(V686) = 16777215, 0, 1)</f>
        <v>0</v>
      </c>
    </row>
    <row r="687" spans="1:38">
      <c r="A687" s="1">
        <v>686</v>
      </c>
      <c r="B687" s="3" t="s">
        <v>27</v>
      </c>
      <c r="C687" s="7" t="s">
        <v>335</v>
      </c>
      <c r="D687" s="7" t="s">
        <v>336</v>
      </c>
      <c r="E687" s="8">
        <v>55.963888888888889</v>
      </c>
      <c r="F687" s="8">
        <v>-133.61249999999998</v>
      </c>
      <c r="G687" s="9" t="s">
        <v>30</v>
      </c>
      <c r="H687" s="3" t="s">
        <v>31</v>
      </c>
      <c r="I687" s="3" t="s">
        <v>31</v>
      </c>
      <c r="J687" s="3" t="s">
        <v>31</v>
      </c>
      <c r="K687" s="7" t="s">
        <v>79</v>
      </c>
      <c r="L687" s="9">
        <v>84</v>
      </c>
      <c r="M687" s="9">
        <v>121</v>
      </c>
      <c r="N687" s="9">
        <f t="shared" si="57"/>
        <v>37</v>
      </c>
      <c r="O687" s="9"/>
      <c r="P687" s="9"/>
      <c r="Q687" s="25"/>
      <c r="R687" s="11">
        <v>0</v>
      </c>
      <c r="S687" s="1">
        <v>1.71</v>
      </c>
      <c r="T687" s="1">
        <f t="shared" si="58"/>
        <v>1.71</v>
      </c>
      <c r="U687" s="12">
        <v>1</v>
      </c>
      <c r="V687" s="13">
        <v>8.927919000000001</v>
      </c>
      <c r="W687" s="14">
        <f t="shared" si="59"/>
        <v>55922.074077870006</v>
      </c>
      <c r="X687" s="25"/>
      <c r="Y687" s="14">
        <f>IF(L687&gt;-100,W687-W687*(ABS(M687)-100)/(ABS(M687)-ABS(L687)),0)</f>
        <v>24182.51852016</v>
      </c>
      <c r="Z687" s="3"/>
      <c r="AA687" s="3"/>
      <c r="AB687" s="5"/>
      <c r="AC687" s="1"/>
      <c r="AD687" s="28"/>
      <c r="AE687" s="28"/>
      <c r="AF687" s="3"/>
      <c r="AG687" s="7"/>
      <c r="AH687" s="7"/>
      <c r="AI687" s="3" t="s">
        <v>146</v>
      </c>
      <c r="AJ687" s="7" t="s">
        <v>79</v>
      </c>
      <c r="AK687" s="3"/>
      <c r="AL687" cm="1">
        <f t="array" ref="AL687">IF(getColor(V687) = 16777215, 0, 1)</f>
        <v>0</v>
      </c>
    </row>
    <row r="688" spans="1:38">
      <c r="A688" s="1">
        <v>687</v>
      </c>
      <c r="B688" s="3" t="s">
        <v>27</v>
      </c>
      <c r="C688" s="7" t="s">
        <v>337</v>
      </c>
      <c r="D688" s="7" t="s">
        <v>338</v>
      </c>
      <c r="E688" s="8">
        <v>55.963888888888889</v>
      </c>
      <c r="F688" s="8">
        <v>-133.61249999999998</v>
      </c>
      <c r="G688" s="9" t="s">
        <v>30</v>
      </c>
      <c r="H688" s="3" t="s">
        <v>31</v>
      </c>
      <c r="I688" s="3" t="s">
        <v>31</v>
      </c>
      <c r="J688" s="3" t="s">
        <v>31</v>
      </c>
      <c r="K688" s="7" t="s">
        <v>51</v>
      </c>
      <c r="L688" s="9">
        <v>25</v>
      </c>
      <c r="M688" s="9">
        <v>21</v>
      </c>
      <c r="N688" s="9">
        <f t="shared" si="57"/>
        <v>4</v>
      </c>
      <c r="O688" s="29">
        <f>M690</f>
        <v>44</v>
      </c>
      <c r="P688" s="29">
        <f>L688</f>
        <v>25</v>
      </c>
      <c r="Q688" s="29">
        <f>P688+O688</f>
        <v>69</v>
      </c>
      <c r="R688" s="11">
        <v>0</v>
      </c>
      <c r="S688" s="1">
        <v>0.12</v>
      </c>
      <c r="T688" s="1">
        <f t="shared" si="58"/>
        <v>0.12</v>
      </c>
      <c r="U688" s="12">
        <v>0</v>
      </c>
      <c r="V688" s="13">
        <v>52.011485</v>
      </c>
      <c r="W688" s="14">
        <f t="shared" si="59"/>
        <v>2496.5512799999997</v>
      </c>
      <c r="X688" s="14">
        <f>SUM(W688:W691)</f>
        <v>62163.746465000011</v>
      </c>
      <c r="Y688" s="14">
        <f t="shared" ref="Y688:Y704" si="62">T688*V688/100*N688*100*100*((100-U688)/100)</f>
        <v>2496.5512799999997</v>
      </c>
      <c r="Z688" s="15">
        <f>SUM(Y688:Y690)/10^6*10^4</f>
        <v>590.53484765000007</v>
      </c>
      <c r="AA688" s="16">
        <v>96.718966339867222</v>
      </c>
      <c r="AB688" s="5"/>
      <c r="AC688" s="1"/>
      <c r="AD688" s="28"/>
      <c r="AE688" s="28"/>
      <c r="AF688" s="3"/>
      <c r="AG688" s="7"/>
      <c r="AH688" s="7"/>
      <c r="AI688" s="3" t="s">
        <v>84</v>
      </c>
      <c r="AJ688" s="7" t="s">
        <v>67</v>
      </c>
      <c r="AK688" s="3"/>
      <c r="AL688" cm="1">
        <f t="array" ref="AL688">IF(getColor(V688) = 16777215, 0, 1)</f>
        <v>0</v>
      </c>
    </row>
    <row r="689" spans="1:38">
      <c r="A689" s="1">
        <v>688</v>
      </c>
      <c r="B689" s="3" t="s">
        <v>27</v>
      </c>
      <c r="C689" s="7" t="s">
        <v>337</v>
      </c>
      <c r="D689" s="7" t="s">
        <v>338</v>
      </c>
      <c r="E689" s="8">
        <v>55.963888888888889</v>
      </c>
      <c r="F689" s="8">
        <v>-133.61249999999998</v>
      </c>
      <c r="G689" s="9" t="s">
        <v>30</v>
      </c>
      <c r="H689" s="3" t="s">
        <v>31</v>
      </c>
      <c r="I689" s="3" t="s">
        <v>31</v>
      </c>
      <c r="J689" s="3" t="s">
        <v>31</v>
      </c>
      <c r="K689" s="7" t="s">
        <v>52</v>
      </c>
      <c r="L689" s="9">
        <v>21</v>
      </c>
      <c r="M689" s="9">
        <v>0</v>
      </c>
      <c r="N689" s="9">
        <f t="shared" si="57"/>
        <v>21</v>
      </c>
      <c r="O689" s="9"/>
      <c r="P689" s="9"/>
      <c r="Q689" s="25"/>
      <c r="R689" s="11">
        <v>0</v>
      </c>
      <c r="S689" s="1">
        <v>0.15</v>
      </c>
      <c r="T689" s="1">
        <f t="shared" si="58"/>
        <v>0.15</v>
      </c>
      <c r="U689" s="12">
        <v>0</v>
      </c>
      <c r="V689" s="13">
        <v>35.231095000000003</v>
      </c>
      <c r="W689" s="14">
        <f t="shared" si="59"/>
        <v>11097.794925000002</v>
      </c>
      <c r="X689" s="25"/>
      <c r="Y689" s="14">
        <f t="shared" si="62"/>
        <v>11097.794925000002</v>
      </c>
      <c r="Z689" s="3"/>
      <c r="AA689" s="3"/>
      <c r="AB689" s="5"/>
      <c r="AC689" s="5"/>
      <c r="AD689" s="28"/>
      <c r="AE689" s="28"/>
      <c r="AF689" s="3"/>
      <c r="AG689" s="7"/>
      <c r="AH689" s="7"/>
      <c r="AI689" s="3" t="s">
        <v>84</v>
      </c>
      <c r="AJ689" s="7" t="s">
        <v>76</v>
      </c>
      <c r="AK689" s="3"/>
      <c r="AL689" cm="1">
        <f t="array" ref="AL689">IF(getColor(V689) = 16777215, 0, 1)</f>
        <v>0</v>
      </c>
    </row>
    <row r="690" spans="1:38">
      <c r="A690" s="1">
        <v>689</v>
      </c>
      <c r="B690" s="3" t="s">
        <v>27</v>
      </c>
      <c r="C690" s="7" t="s">
        <v>337</v>
      </c>
      <c r="D690" s="7" t="s">
        <v>338</v>
      </c>
      <c r="E690" s="8">
        <v>55.963888888888889</v>
      </c>
      <c r="F690" s="8">
        <v>-133.61249999999998</v>
      </c>
      <c r="G690" s="9" t="s">
        <v>30</v>
      </c>
      <c r="H690" s="3" t="s">
        <v>31</v>
      </c>
      <c r="I690" s="3" t="s">
        <v>31</v>
      </c>
      <c r="J690" s="3" t="s">
        <v>31</v>
      </c>
      <c r="K690" s="7" t="s">
        <v>79</v>
      </c>
      <c r="L690" s="9">
        <v>0</v>
      </c>
      <c r="M690" s="9">
        <v>44</v>
      </c>
      <c r="N690" s="9">
        <f t="shared" si="57"/>
        <v>44</v>
      </c>
      <c r="O690" s="9"/>
      <c r="P690" s="9"/>
      <c r="Q690" s="25"/>
      <c r="R690" s="11">
        <v>0</v>
      </c>
      <c r="S690" s="1">
        <v>1.1000000000000001</v>
      </c>
      <c r="T690" s="1">
        <f t="shared" si="58"/>
        <v>1.1000000000000001</v>
      </c>
      <c r="U690" s="12">
        <v>5</v>
      </c>
      <c r="V690" s="13">
        <v>9.8867200000000004</v>
      </c>
      <c r="W690" s="14">
        <f t="shared" si="59"/>
        <v>45459.138560000007</v>
      </c>
      <c r="X690" s="3"/>
      <c r="Y690" s="14">
        <f t="shared" si="62"/>
        <v>45459.138560000007</v>
      </c>
      <c r="Z690" s="3"/>
      <c r="AA690" s="3"/>
      <c r="AB690" s="5"/>
      <c r="AC690" s="1"/>
      <c r="AD690" s="28"/>
      <c r="AE690" s="28"/>
      <c r="AF690" s="3"/>
      <c r="AG690" s="7"/>
      <c r="AH690" s="7"/>
      <c r="AI690" s="3" t="s">
        <v>84</v>
      </c>
      <c r="AJ690" s="7" t="s">
        <v>79</v>
      </c>
      <c r="AK690" s="3"/>
      <c r="AL690" cm="1">
        <f t="array" ref="AL690">IF(getColor(V690) = 16777215, 0, 1)</f>
        <v>0</v>
      </c>
    </row>
    <row r="691" spans="1:38">
      <c r="A691" s="1">
        <v>690</v>
      </c>
      <c r="B691" s="3" t="s">
        <v>27</v>
      </c>
      <c r="C691" s="7" t="s">
        <v>339</v>
      </c>
      <c r="D691" s="7" t="s">
        <v>206</v>
      </c>
      <c r="E691" s="8">
        <v>55.963888888888889</v>
      </c>
      <c r="F691" s="8">
        <v>-133.61249999999998</v>
      </c>
      <c r="G691" s="9" t="s">
        <v>30</v>
      </c>
      <c r="H691" s="3" t="s">
        <v>31</v>
      </c>
      <c r="I691" s="3" t="s">
        <v>31</v>
      </c>
      <c r="J691" s="3" t="s">
        <v>31</v>
      </c>
      <c r="K691" s="7" t="s">
        <v>32</v>
      </c>
      <c r="L691" s="9">
        <v>26</v>
      </c>
      <c r="M691" s="9">
        <v>21</v>
      </c>
      <c r="N691" s="9">
        <f t="shared" si="57"/>
        <v>5</v>
      </c>
      <c r="O691" s="29">
        <f>M696</f>
        <v>87</v>
      </c>
      <c r="P691" s="29">
        <f>L691</f>
        <v>26</v>
      </c>
      <c r="Q691" s="29">
        <f>P691+O691</f>
        <v>113</v>
      </c>
      <c r="R691" s="11">
        <v>0</v>
      </c>
      <c r="S691" s="1">
        <v>0.12</v>
      </c>
      <c r="T691" s="1">
        <f t="shared" si="58"/>
        <v>0.12</v>
      </c>
      <c r="U691" s="12">
        <v>0</v>
      </c>
      <c r="V691" s="13">
        <v>51.837694999999997</v>
      </c>
      <c r="W691" s="14">
        <f t="shared" si="59"/>
        <v>3110.2616999999996</v>
      </c>
      <c r="X691" s="14">
        <f>SUM(W691:W696)</f>
        <v>77768.887769199995</v>
      </c>
      <c r="Y691" s="14">
        <f t="shared" si="62"/>
        <v>3110.2616999999996</v>
      </c>
      <c r="Z691" s="15">
        <f>SUM(Y691:Y696)/10^6*10^4</f>
        <v>777.68887769199989</v>
      </c>
      <c r="AA691" s="16">
        <v>122.469376639675</v>
      </c>
      <c r="AB691" s="5"/>
      <c r="AC691" s="1"/>
      <c r="AD691" s="28"/>
      <c r="AE691" s="28"/>
      <c r="AF691" s="3"/>
      <c r="AG691" s="7"/>
      <c r="AH691" s="7"/>
      <c r="AI691" s="3" t="s">
        <v>107</v>
      </c>
      <c r="AJ691" s="7" t="s">
        <v>34</v>
      </c>
      <c r="AK691" s="3"/>
      <c r="AL691" cm="1">
        <f t="array" ref="AL691">IF(getColor(V691) = 16777215, 0, 1)</f>
        <v>0</v>
      </c>
    </row>
    <row r="692" spans="1:38">
      <c r="A692" s="1">
        <v>691</v>
      </c>
      <c r="B692" s="3" t="s">
        <v>27</v>
      </c>
      <c r="C692" s="7" t="s">
        <v>339</v>
      </c>
      <c r="D692" s="7" t="s">
        <v>206</v>
      </c>
      <c r="E692" s="8">
        <v>55.963888888888889</v>
      </c>
      <c r="F692" s="8">
        <v>-133.61249999999998</v>
      </c>
      <c r="G692" s="9" t="s">
        <v>30</v>
      </c>
      <c r="H692" s="3" t="s">
        <v>31</v>
      </c>
      <c r="I692" s="3" t="s">
        <v>31</v>
      </c>
      <c r="J692" s="3" t="s">
        <v>31</v>
      </c>
      <c r="K692" s="7" t="s">
        <v>35</v>
      </c>
      <c r="L692" s="9">
        <v>21</v>
      </c>
      <c r="M692" s="9">
        <v>14</v>
      </c>
      <c r="N692" s="9">
        <f t="shared" si="57"/>
        <v>7</v>
      </c>
      <c r="O692" s="9"/>
      <c r="P692" s="9"/>
      <c r="Q692" s="25"/>
      <c r="R692" s="11">
        <v>0</v>
      </c>
      <c r="S692" s="1">
        <v>0.12</v>
      </c>
      <c r="T692" s="1">
        <f t="shared" si="58"/>
        <v>0.12</v>
      </c>
      <c r="U692" s="12">
        <v>0</v>
      </c>
      <c r="V692" s="13">
        <v>64.543674999999993</v>
      </c>
      <c r="W692" s="14">
        <f t="shared" si="59"/>
        <v>5421.6686999999984</v>
      </c>
      <c r="X692" s="25"/>
      <c r="Y692" s="14">
        <f t="shared" si="62"/>
        <v>5421.6686999999984</v>
      </c>
      <c r="Z692" s="3"/>
      <c r="AA692" s="3"/>
      <c r="AB692" s="5"/>
      <c r="AC692" s="5"/>
      <c r="AD692" s="28"/>
      <c r="AE692" s="28"/>
      <c r="AF692" s="3"/>
      <c r="AG692" s="7"/>
      <c r="AH692" s="7"/>
      <c r="AI692" s="3" t="s">
        <v>107</v>
      </c>
      <c r="AJ692" s="7" t="s">
        <v>36</v>
      </c>
      <c r="AK692" s="3"/>
      <c r="AL692" cm="1">
        <f t="array" ref="AL692">IF(getColor(V692) = 16777215, 0, 1)</f>
        <v>0</v>
      </c>
    </row>
    <row r="693" spans="1:38">
      <c r="A693" s="1">
        <v>692</v>
      </c>
      <c r="B693" s="3" t="s">
        <v>27</v>
      </c>
      <c r="C693" s="7" t="s">
        <v>339</v>
      </c>
      <c r="D693" s="7" t="s">
        <v>206</v>
      </c>
      <c r="E693" s="8">
        <v>55.963888888888889</v>
      </c>
      <c r="F693" s="8">
        <v>-133.61249999999998</v>
      </c>
      <c r="G693" s="9" t="s">
        <v>30</v>
      </c>
      <c r="H693" s="3" t="s">
        <v>31</v>
      </c>
      <c r="I693" s="3" t="s">
        <v>31</v>
      </c>
      <c r="J693" s="3" t="s">
        <v>31</v>
      </c>
      <c r="K693" s="7" t="s">
        <v>52</v>
      </c>
      <c r="L693" s="9">
        <v>14</v>
      </c>
      <c r="M693" s="9">
        <v>0</v>
      </c>
      <c r="N693" s="9">
        <f t="shared" si="57"/>
        <v>14</v>
      </c>
      <c r="O693" s="9"/>
      <c r="P693" s="9"/>
      <c r="Q693" s="25"/>
      <c r="R693" s="11">
        <v>0</v>
      </c>
      <c r="S693" s="1">
        <v>0.15</v>
      </c>
      <c r="T693" s="1">
        <f t="shared" si="58"/>
        <v>0.15</v>
      </c>
      <c r="U693" s="12">
        <v>0</v>
      </c>
      <c r="V693" s="13">
        <v>52.175620000000002</v>
      </c>
      <c r="W693" s="14">
        <f t="shared" si="59"/>
        <v>10956.8802</v>
      </c>
      <c r="X693" s="25"/>
      <c r="Y693" s="14">
        <f t="shared" si="62"/>
        <v>10956.8802</v>
      </c>
      <c r="Z693" s="3"/>
      <c r="AA693" s="3"/>
      <c r="AB693" s="5"/>
      <c r="AC693" s="1"/>
      <c r="AD693" s="28"/>
      <c r="AE693" s="28"/>
      <c r="AF693" s="3"/>
      <c r="AG693" s="7"/>
      <c r="AH693" s="7"/>
      <c r="AI693" s="3" t="s">
        <v>107</v>
      </c>
      <c r="AJ693" s="7" t="s">
        <v>76</v>
      </c>
      <c r="AK693" s="3"/>
      <c r="AL693" cm="1">
        <f t="array" ref="AL693">IF(getColor(V693) = 16777215, 0, 1)</f>
        <v>0</v>
      </c>
    </row>
    <row r="694" spans="1:38">
      <c r="A694" s="1">
        <v>693</v>
      </c>
      <c r="B694" s="3" t="s">
        <v>27</v>
      </c>
      <c r="C694" s="7" t="s">
        <v>339</v>
      </c>
      <c r="D694" s="7" t="s">
        <v>206</v>
      </c>
      <c r="E694" s="8">
        <v>55.963888888888889</v>
      </c>
      <c r="F694" s="8">
        <v>-133.61249999999998</v>
      </c>
      <c r="G694" s="9" t="s">
        <v>30</v>
      </c>
      <c r="H694" s="3" t="s">
        <v>31</v>
      </c>
      <c r="I694" s="3" t="s">
        <v>31</v>
      </c>
      <c r="J694" s="3" t="s">
        <v>31</v>
      </c>
      <c r="K694" s="7" t="s">
        <v>149</v>
      </c>
      <c r="L694" s="9">
        <v>0</v>
      </c>
      <c r="M694" s="9">
        <v>20</v>
      </c>
      <c r="N694" s="9">
        <f t="shared" si="57"/>
        <v>20</v>
      </c>
      <c r="O694" s="9"/>
      <c r="P694" s="9"/>
      <c r="Q694" s="25"/>
      <c r="R694" s="11">
        <v>0</v>
      </c>
      <c r="S694" s="1">
        <v>0.86</v>
      </c>
      <c r="T694" s="1">
        <f t="shared" si="58"/>
        <v>0.86</v>
      </c>
      <c r="U694" s="12">
        <v>3</v>
      </c>
      <c r="V694" s="13">
        <v>9.7129300000000001</v>
      </c>
      <c r="W694" s="14">
        <f t="shared" si="59"/>
        <v>16205.052411999997</v>
      </c>
      <c r="X694" s="25"/>
      <c r="Y694" s="14">
        <f t="shared" si="62"/>
        <v>16205.052411999997</v>
      </c>
      <c r="Z694" s="3"/>
      <c r="AA694" s="3"/>
      <c r="AB694" s="5"/>
      <c r="AC694" s="1"/>
      <c r="AD694" s="28"/>
      <c r="AE694" s="28"/>
      <c r="AF694" s="3"/>
      <c r="AG694" s="7"/>
      <c r="AH694" s="7"/>
      <c r="AI694" s="3" t="s">
        <v>107</v>
      </c>
      <c r="AJ694" s="7" t="s">
        <v>150</v>
      </c>
      <c r="AK694" s="3"/>
      <c r="AL694" cm="1">
        <f t="array" ref="AL694">IF(getColor(V694) = 16777215, 0, 1)</f>
        <v>0</v>
      </c>
    </row>
    <row r="695" spans="1:38">
      <c r="A695" s="1">
        <v>694</v>
      </c>
      <c r="B695" s="3" t="s">
        <v>27</v>
      </c>
      <c r="C695" s="7" t="s">
        <v>339</v>
      </c>
      <c r="D695" s="7" t="s">
        <v>206</v>
      </c>
      <c r="E695" s="8">
        <v>55.963888888888889</v>
      </c>
      <c r="F695" s="8">
        <v>-133.61249999999998</v>
      </c>
      <c r="G695" s="9" t="s">
        <v>30</v>
      </c>
      <c r="H695" s="3" t="s">
        <v>31</v>
      </c>
      <c r="I695" s="3" t="s">
        <v>31</v>
      </c>
      <c r="J695" s="3" t="s">
        <v>31</v>
      </c>
      <c r="K695" s="7" t="s">
        <v>41</v>
      </c>
      <c r="L695" s="9">
        <v>20</v>
      </c>
      <c r="M695" s="9">
        <v>57</v>
      </c>
      <c r="N695" s="9">
        <f t="shared" si="57"/>
        <v>37</v>
      </c>
      <c r="O695" s="9"/>
      <c r="P695" s="9"/>
      <c r="Q695" s="25"/>
      <c r="R695" s="11">
        <v>0</v>
      </c>
      <c r="S695" s="1">
        <v>1.17</v>
      </c>
      <c r="T695" s="1">
        <f t="shared" si="58"/>
        <v>1.17</v>
      </c>
      <c r="U695" s="12">
        <v>11</v>
      </c>
      <c r="V695" s="13">
        <v>5.2523200000000001</v>
      </c>
      <c r="W695" s="14">
        <f t="shared" si="59"/>
        <v>20236.191019200003</v>
      </c>
      <c r="X695" s="25"/>
      <c r="Y695" s="14">
        <f t="shared" si="62"/>
        <v>20236.191019200003</v>
      </c>
      <c r="Z695" s="3"/>
      <c r="AA695" s="3"/>
      <c r="AB695" s="5"/>
      <c r="AC695" s="1"/>
      <c r="AD695" s="28"/>
      <c r="AE695" s="28"/>
      <c r="AF695" s="3"/>
      <c r="AG695" s="7"/>
      <c r="AH695" s="7"/>
      <c r="AI695" s="3" t="s">
        <v>107</v>
      </c>
      <c r="AJ695" s="7" t="s">
        <v>61</v>
      </c>
      <c r="AK695" s="3"/>
      <c r="AL695" cm="1">
        <f t="array" ref="AL695">IF(getColor(V695) = 16777215, 0, 1)</f>
        <v>0</v>
      </c>
    </row>
    <row r="696" spans="1:38">
      <c r="A696" s="1">
        <v>695</v>
      </c>
      <c r="B696" s="3" t="s">
        <v>27</v>
      </c>
      <c r="C696" s="7" t="s">
        <v>339</v>
      </c>
      <c r="D696" s="7" t="s">
        <v>206</v>
      </c>
      <c r="E696" s="8">
        <v>55.963888888888889</v>
      </c>
      <c r="F696" s="8">
        <v>-133.61249999999998</v>
      </c>
      <c r="G696" s="9" t="s">
        <v>30</v>
      </c>
      <c r="H696" s="3" t="s">
        <v>31</v>
      </c>
      <c r="I696" s="3" t="s">
        <v>31</v>
      </c>
      <c r="J696" s="3" t="s">
        <v>31</v>
      </c>
      <c r="K696" s="7" t="s">
        <v>79</v>
      </c>
      <c r="L696" s="9">
        <v>57</v>
      </c>
      <c r="M696" s="9">
        <v>87</v>
      </c>
      <c r="N696" s="9">
        <f t="shared" si="57"/>
        <v>30</v>
      </c>
      <c r="O696" s="9"/>
      <c r="P696" s="9"/>
      <c r="Q696" s="25"/>
      <c r="R696" s="11">
        <v>0</v>
      </c>
      <c r="S696" s="1">
        <v>1.71</v>
      </c>
      <c r="T696" s="1">
        <f t="shared" si="58"/>
        <v>1.71</v>
      </c>
      <c r="U696" s="12">
        <v>27</v>
      </c>
      <c r="V696" s="13">
        <v>5.83162</v>
      </c>
      <c r="W696" s="14">
        <f t="shared" si="59"/>
        <v>21838.833737999998</v>
      </c>
      <c r="X696" s="25"/>
      <c r="Y696" s="14">
        <f t="shared" si="62"/>
        <v>21838.833737999998</v>
      </c>
      <c r="Z696" s="3"/>
      <c r="AA696" s="3"/>
      <c r="AB696" s="5"/>
      <c r="AC696" s="1"/>
      <c r="AD696" s="28"/>
      <c r="AE696" s="28"/>
      <c r="AF696" s="3"/>
      <c r="AG696" s="7"/>
      <c r="AH696" s="7"/>
      <c r="AI696" s="3" t="s">
        <v>107</v>
      </c>
      <c r="AJ696" s="7" t="s">
        <v>79</v>
      </c>
      <c r="AK696" s="3"/>
      <c r="AL696" cm="1">
        <f t="array" ref="AL696">IF(getColor(V696) = 16777215, 0, 1)</f>
        <v>0</v>
      </c>
    </row>
    <row r="697" spans="1:38">
      <c r="A697" s="1">
        <v>696</v>
      </c>
      <c r="B697" s="3" t="s">
        <v>27</v>
      </c>
      <c r="C697" s="7" t="s">
        <v>340</v>
      </c>
      <c r="D697" s="7" t="s">
        <v>341</v>
      </c>
      <c r="E697" s="8">
        <v>55.962500000000006</v>
      </c>
      <c r="F697" s="8">
        <v>-133.60277777777776</v>
      </c>
      <c r="G697" s="9" t="s">
        <v>30</v>
      </c>
      <c r="H697" s="3" t="s">
        <v>31</v>
      </c>
      <c r="I697" s="3" t="s">
        <v>31</v>
      </c>
      <c r="J697" s="3" t="s">
        <v>31</v>
      </c>
      <c r="K697" s="7" t="s">
        <v>51</v>
      </c>
      <c r="L697" s="9">
        <v>0</v>
      </c>
      <c r="M697" s="9">
        <v>6</v>
      </c>
      <c r="N697" s="9">
        <f t="shared" si="57"/>
        <v>6</v>
      </c>
      <c r="O697" s="10">
        <f>M700-P697</f>
        <v>9</v>
      </c>
      <c r="P697" s="10">
        <f>M699</f>
        <v>63</v>
      </c>
      <c r="Q697" s="10">
        <f>O697+P697</f>
        <v>72</v>
      </c>
      <c r="R697" s="11">
        <v>0</v>
      </c>
      <c r="S697" s="1">
        <v>0.12</v>
      </c>
      <c r="T697" s="1">
        <f t="shared" si="58"/>
        <v>0.12</v>
      </c>
      <c r="U697" s="12">
        <v>0</v>
      </c>
      <c r="V697" s="13">
        <v>50.504454000000003</v>
      </c>
      <c r="W697" s="14">
        <f t="shared" si="59"/>
        <v>3636.3206879999998</v>
      </c>
      <c r="X697" s="14">
        <f>SUM(W697:W700)</f>
        <v>74642.692384260008</v>
      </c>
      <c r="Y697" s="14">
        <f t="shared" si="62"/>
        <v>3636.3206879999998</v>
      </c>
      <c r="Z697" s="15">
        <f>SUM(Y697:Y700)/10^6*10^4</f>
        <v>746.4269238426001</v>
      </c>
      <c r="AA697" s="16">
        <v>130.32755649292605</v>
      </c>
      <c r="AB697" s="5"/>
      <c r="AC697" s="1"/>
      <c r="AD697" s="28"/>
      <c r="AE697" s="28"/>
      <c r="AF697" s="3"/>
      <c r="AG697" s="7"/>
      <c r="AH697" s="7"/>
      <c r="AI697" s="3" t="s">
        <v>146</v>
      </c>
      <c r="AJ697" s="7" t="s">
        <v>67</v>
      </c>
      <c r="AK697" s="3"/>
      <c r="AL697" cm="1">
        <f t="array" ref="AL697">IF(getColor(V697) = 16777215, 0, 1)</f>
        <v>0</v>
      </c>
    </row>
    <row r="698" spans="1:38">
      <c r="A698" s="1">
        <v>697</v>
      </c>
      <c r="B698" s="3" t="s">
        <v>27</v>
      </c>
      <c r="C698" s="7" t="s">
        <v>340</v>
      </c>
      <c r="D698" s="7" t="s">
        <v>341</v>
      </c>
      <c r="E698" s="8">
        <v>55.962500000000006</v>
      </c>
      <c r="F698" s="8">
        <v>-133.60277777777776</v>
      </c>
      <c r="G698" s="9" t="s">
        <v>30</v>
      </c>
      <c r="H698" s="3" t="s">
        <v>31</v>
      </c>
      <c r="I698" s="3" t="s">
        <v>31</v>
      </c>
      <c r="J698" s="3" t="s">
        <v>31</v>
      </c>
      <c r="K698" s="7" t="s">
        <v>179</v>
      </c>
      <c r="L698" s="9">
        <v>6</v>
      </c>
      <c r="M698" s="9">
        <v>56</v>
      </c>
      <c r="N698" s="9">
        <f t="shared" si="57"/>
        <v>50</v>
      </c>
      <c r="O698" s="9"/>
      <c r="P698" s="9"/>
      <c r="Q698" s="25"/>
      <c r="R698" s="11">
        <v>0</v>
      </c>
      <c r="S698" s="1">
        <v>0.15</v>
      </c>
      <c r="T698" s="1">
        <f t="shared" si="58"/>
        <v>0.15</v>
      </c>
      <c r="U698" s="12">
        <v>0</v>
      </c>
      <c r="V698" s="13">
        <v>51.666615</v>
      </c>
      <c r="W698" s="14">
        <f t="shared" si="59"/>
        <v>38749.96125</v>
      </c>
      <c r="X698" s="25"/>
      <c r="Y698" s="14">
        <f t="shared" si="62"/>
        <v>38749.96125</v>
      </c>
      <c r="Z698" s="3"/>
      <c r="AA698" s="3"/>
      <c r="AB698" s="5"/>
      <c r="AC698" s="5"/>
      <c r="AD698" s="28"/>
      <c r="AE698" s="28"/>
      <c r="AF698" s="3"/>
      <c r="AG698" s="7"/>
      <c r="AH698" s="7"/>
      <c r="AI698" s="3" t="s">
        <v>146</v>
      </c>
      <c r="AJ698" s="7" t="s">
        <v>180</v>
      </c>
      <c r="AK698" s="3"/>
      <c r="AL698" cm="1">
        <f t="array" ref="AL698">IF(getColor(V698) = 16777215, 0, 1)</f>
        <v>0</v>
      </c>
    </row>
    <row r="699" spans="1:38">
      <c r="A699" s="1">
        <v>698</v>
      </c>
      <c r="B699" s="3" t="s">
        <v>27</v>
      </c>
      <c r="C699" s="7" t="s">
        <v>340</v>
      </c>
      <c r="D699" s="7" t="s">
        <v>341</v>
      </c>
      <c r="E699" s="8">
        <v>55.962500000000006</v>
      </c>
      <c r="F699" s="8">
        <v>-133.60277777777776</v>
      </c>
      <c r="G699" s="9" t="s">
        <v>30</v>
      </c>
      <c r="H699" s="3" t="s">
        <v>31</v>
      </c>
      <c r="I699" s="3" t="s">
        <v>31</v>
      </c>
      <c r="J699" s="3" t="s">
        <v>31</v>
      </c>
      <c r="K699" s="7" t="s">
        <v>132</v>
      </c>
      <c r="L699" s="9">
        <v>56</v>
      </c>
      <c r="M699" s="9">
        <v>63</v>
      </c>
      <c r="N699" s="9">
        <f t="shared" si="57"/>
        <v>7</v>
      </c>
      <c r="O699" s="9"/>
      <c r="P699" s="9"/>
      <c r="Q699" s="25"/>
      <c r="R699" s="11">
        <v>0</v>
      </c>
      <c r="S699" s="1">
        <v>0.15</v>
      </c>
      <c r="T699" s="1">
        <f t="shared" si="58"/>
        <v>0.15</v>
      </c>
      <c r="U699" s="12">
        <v>0</v>
      </c>
      <c r="V699" s="13">
        <v>37.135097999999999</v>
      </c>
      <c r="W699" s="14">
        <f t="shared" si="59"/>
        <v>3899.1852899999999</v>
      </c>
      <c r="X699" s="25"/>
      <c r="Y699" s="14">
        <f t="shared" si="62"/>
        <v>3899.1852899999999</v>
      </c>
      <c r="Z699" s="3"/>
      <c r="AA699" s="3"/>
      <c r="AB699" s="5"/>
      <c r="AC699" s="1"/>
      <c r="AD699" s="28"/>
      <c r="AE699" s="28"/>
      <c r="AF699" s="3"/>
      <c r="AG699" s="7"/>
      <c r="AH699" s="7"/>
      <c r="AI699" s="3" t="s">
        <v>146</v>
      </c>
      <c r="AJ699" s="7" t="s">
        <v>133</v>
      </c>
      <c r="AK699" s="3"/>
      <c r="AL699" cm="1">
        <f t="array" ref="AL699">IF(getColor(V699) = 16777215, 0, 1)</f>
        <v>0</v>
      </c>
    </row>
    <row r="700" spans="1:38">
      <c r="A700" s="1">
        <v>699</v>
      </c>
      <c r="B700" s="3" t="s">
        <v>27</v>
      </c>
      <c r="C700" s="7" t="s">
        <v>340</v>
      </c>
      <c r="D700" s="7" t="s">
        <v>341</v>
      </c>
      <c r="E700" s="8">
        <v>55.962500000000006</v>
      </c>
      <c r="F700" s="8">
        <v>-133.60277777777776</v>
      </c>
      <c r="G700" s="9" t="s">
        <v>30</v>
      </c>
      <c r="H700" s="3" t="s">
        <v>31</v>
      </c>
      <c r="I700" s="3" t="s">
        <v>31</v>
      </c>
      <c r="J700" s="3" t="s">
        <v>31</v>
      </c>
      <c r="K700" s="7" t="s">
        <v>79</v>
      </c>
      <c r="L700" s="9">
        <v>63</v>
      </c>
      <c r="M700" s="9">
        <v>72</v>
      </c>
      <c r="N700" s="9">
        <f t="shared" si="57"/>
        <v>9</v>
      </c>
      <c r="O700" s="9"/>
      <c r="P700" s="9"/>
      <c r="Q700" s="25"/>
      <c r="R700" s="11">
        <v>0</v>
      </c>
      <c r="S700" s="1">
        <v>1.71</v>
      </c>
      <c r="T700" s="1">
        <f t="shared" si="58"/>
        <v>1.71</v>
      </c>
      <c r="U700" s="12">
        <v>2</v>
      </c>
      <c r="V700" s="13">
        <v>18.801783</v>
      </c>
      <c r="W700" s="14">
        <f t="shared" si="59"/>
        <v>28357.225156259999</v>
      </c>
      <c r="X700" s="25"/>
      <c r="Y700" s="14">
        <f t="shared" si="62"/>
        <v>28357.225156259999</v>
      </c>
      <c r="Z700" s="3"/>
      <c r="AA700" s="3"/>
      <c r="AB700" s="5"/>
      <c r="AC700" s="1"/>
      <c r="AD700" s="28"/>
      <c r="AE700" s="28"/>
      <c r="AF700" s="3"/>
      <c r="AG700" s="7"/>
      <c r="AH700" s="7"/>
      <c r="AI700" s="3" t="s">
        <v>146</v>
      </c>
      <c r="AJ700" s="7" t="s">
        <v>79</v>
      </c>
      <c r="AK700" s="3"/>
      <c r="AL700" cm="1">
        <f t="array" ref="AL700">IF(getColor(V700) = 16777215, 0, 1)</f>
        <v>0</v>
      </c>
    </row>
    <row r="701" spans="1:38">
      <c r="A701" s="1">
        <v>700</v>
      </c>
      <c r="B701" s="3" t="s">
        <v>27</v>
      </c>
      <c r="C701" s="7" t="s">
        <v>342</v>
      </c>
      <c r="D701" s="7" t="s">
        <v>162</v>
      </c>
      <c r="E701" s="8">
        <v>55.962500000000006</v>
      </c>
      <c r="F701" s="8">
        <v>-133.60277777777776</v>
      </c>
      <c r="G701" s="9" t="s">
        <v>30</v>
      </c>
      <c r="H701" s="3" t="s">
        <v>31</v>
      </c>
      <c r="I701" s="3" t="s">
        <v>31</v>
      </c>
      <c r="J701" s="3" t="s">
        <v>31</v>
      </c>
      <c r="K701" s="7" t="s">
        <v>51</v>
      </c>
      <c r="L701" s="9">
        <v>10</v>
      </c>
      <c r="M701" s="9">
        <v>6</v>
      </c>
      <c r="N701" s="9">
        <f t="shared" si="57"/>
        <v>4</v>
      </c>
      <c r="O701" s="29">
        <f>M705</f>
        <v>118</v>
      </c>
      <c r="P701" s="29">
        <f>L701</f>
        <v>10</v>
      </c>
      <c r="Q701" s="29">
        <f>P701+O701</f>
        <v>128</v>
      </c>
      <c r="R701" s="11">
        <v>0</v>
      </c>
      <c r="S701" s="1">
        <v>0.12</v>
      </c>
      <c r="T701" s="1">
        <f t="shared" si="58"/>
        <v>0.12</v>
      </c>
      <c r="U701" s="12">
        <v>0</v>
      </c>
      <c r="V701" s="13">
        <v>44.007489999999997</v>
      </c>
      <c r="W701" s="14">
        <f t="shared" si="59"/>
        <v>2112.3595199999995</v>
      </c>
      <c r="X701" s="14">
        <f>SUM(W701:W705)</f>
        <v>52149.206430299993</v>
      </c>
      <c r="Y701" s="14">
        <f t="shared" si="62"/>
        <v>2112.3595199999995</v>
      </c>
      <c r="Z701" s="15">
        <f>SUM(Y701:Y705)/10^6*10^4</f>
        <v>505.31004292799997</v>
      </c>
      <c r="AA701" s="16">
        <v>60.350770844272134</v>
      </c>
      <c r="AB701" s="5"/>
      <c r="AC701" s="1"/>
      <c r="AD701" s="28"/>
      <c r="AE701" s="28"/>
      <c r="AF701" s="3"/>
      <c r="AG701" s="7"/>
      <c r="AH701" s="7"/>
      <c r="AI701" s="3" t="s">
        <v>75</v>
      </c>
      <c r="AJ701" s="7" t="s">
        <v>67</v>
      </c>
      <c r="AK701" s="3"/>
      <c r="AL701" cm="1">
        <f t="array" ref="AL701">IF(getColor(V701) = 16777215, 0, 1)</f>
        <v>0</v>
      </c>
    </row>
    <row r="702" spans="1:38">
      <c r="A702" s="1">
        <v>701</v>
      </c>
      <c r="B702" s="3" t="s">
        <v>27</v>
      </c>
      <c r="C702" s="7" t="s">
        <v>342</v>
      </c>
      <c r="D702" s="7" t="s">
        <v>162</v>
      </c>
      <c r="E702" s="8">
        <v>55.962500000000006</v>
      </c>
      <c r="F702" s="8">
        <v>-133.60277777777776</v>
      </c>
      <c r="G702" s="9" t="s">
        <v>30</v>
      </c>
      <c r="H702" s="3" t="s">
        <v>31</v>
      </c>
      <c r="I702" s="3" t="s">
        <v>31</v>
      </c>
      <c r="J702" s="3" t="s">
        <v>31</v>
      </c>
      <c r="K702" s="7" t="s">
        <v>52</v>
      </c>
      <c r="L702" s="9">
        <v>6</v>
      </c>
      <c r="M702" s="9">
        <v>0</v>
      </c>
      <c r="N702" s="9">
        <f t="shared" si="57"/>
        <v>6</v>
      </c>
      <c r="O702" s="9"/>
      <c r="P702" s="9"/>
      <c r="Q702" s="25"/>
      <c r="R702" s="11">
        <v>0</v>
      </c>
      <c r="S702" s="1">
        <v>0.15</v>
      </c>
      <c r="T702" s="1">
        <f t="shared" si="58"/>
        <v>0.15</v>
      </c>
      <c r="U702" s="12">
        <v>0</v>
      </c>
      <c r="V702" s="13">
        <v>44.49024</v>
      </c>
      <c r="W702" s="14">
        <f t="shared" si="59"/>
        <v>4004.1215999999999</v>
      </c>
      <c r="X702" s="25"/>
      <c r="Y702" s="14">
        <f t="shared" si="62"/>
        <v>4004.1215999999999</v>
      </c>
      <c r="Z702" s="3"/>
      <c r="AA702" s="3"/>
      <c r="AB702" s="5"/>
      <c r="AC702" s="5"/>
      <c r="AD702" s="28"/>
      <c r="AE702" s="28"/>
      <c r="AF702" s="3"/>
      <c r="AG702" s="7"/>
      <c r="AH702" s="7"/>
      <c r="AI702" s="3" t="s">
        <v>75</v>
      </c>
      <c r="AJ702" s="7" t="s">
        <v>76</v>
      </c>
      <c r="AK702" s="3"/>
      <c r="AL702" cm="1">
        <f t="array" ref="AL702">IF(getColor(V702) = 16777215, 0, 1)</f>
        <v>0</v>
      </c>
    </row>
    <row r="703" spans="1:38">
      <c r="A703" s="1">
        <v>702</v>
      </c>
      <c r="B703" s="3" t="s">
        <v>27</v>
      </c>
      <c r="C703" s="7" t="s">
        <v>342</v>
      </c>
      <c r="D703" s="7" t="s">
        <v>162</v>
      </c>
      <c r="E703" s="8">
        <v>55.962500000000006</v>
      </c>
      <c r="F703" s="8">
        <v>-133.60277777777776</v>
      </c>
      <c r="G703" s="9" t="s">
        <v>30</v>
      </c>
      <c r="H703" s="3" t="s">
        <v>31</v>
      </c>
      <c r="I703" s="3" t="s">
        <v>31</v>
      </c>
      <c r="J703" s="3" t="s">
        <v>31</v>
      </c>
      <c r="K703" s="7" t="s">
        <v>343</v>
      </c>
      <c r="L703" s="9">
        <v>0</v>
      </c>
      <c r="M703" s="9">
        <v>16</v>
      </c>
      <c r="N703" s="9">
        <f t="shared" si="57"/>
        <v>16</v>
      </c>
      <c r="O703" s="9"/>
      <c r="P703" s="9"/>
      <c r="Q703" s="25"/>
      <c r="R703" s="11">
        <v>0</v>
      </c>
      <c r="S703" s="1">
        <v>1.46</v>
      </c>
      <c r="T703" s="1">
        <f t="shared" si="58"/>
        <v>1.46</v>
      </c>
      <c r="U703" s="12">
        <v>2</v>
      </c>
      <c r="V703" s="13">
        <v>8.8536350000000006</v>
      </c>
      <c r="W703" s="14">
        <f t="shared" si="59"/>
        <v>20268.449532800001</v>
      </c>
      <c r="X703" s="25"/>
      <c r="Y703" s="14">
        <f t="shared" si="62"/>
        <v>20268.449532800001</v>
      </c>
      <c r="Z703" s="3"/>
      <c r="AA703" s="3"/>
      <c r="AB703" s="5"/>
      <c r="AC703" s="1"/>
      <c r="AD703" s="28"/>
      <c r="AE703" s="28"/>
      <c r="AF703" s="3"/>
      <c r="AG703" s="7"/>
      <c r="AH703" s="7"/>
      <c r="AI703" s="3" t="s">
        <v>75</v>
      </c>
      <c r="AJ703" s="7" t="s">
        <v>344</v>
      </c>
      <c r="AK703" s="3"/>
      <c r="AL703" cm="1">
        <f t="array" ref="AL703">IF(getColor(V703) = 16777215, 0, 1)</f>
        <v>0</v>
      </c>
    </row>
    <row r="704" spans="1:38">
      <c r="A704" s="1">
        <v>703</v>
      </c>
      <c r="B704" s="3" t="s">
        <v>27</v>
      </c>
      <c r="C704" s="7" t="s">
        <v>342</v>
      </c>
      <c r="D704" s="7" t="s">
        <v>162</v>
      </c>
      <c r="E704" s="8">
        <v>55.962500000000006</v>
      </c>
      <c r="F704" s="8">
        <v>-133.60277777777776</v>
      </c>
      <c r="G704" s="9" t="s">
        <v>30</v>
      </c>
      <c r="H704" s="3" t="s">
        <v>31</v>
      </c>
      <c r="I704" s="3" t="s">
        <v>31</v>
      </c>
      <c r="J704" s="3" t="s">
        <v>31</v>
      </c>
      <c r="K704" s="7" t="s">
        <v>79</v>
      </c>
      <c r="L704" s="9">
        <v>16</v>
      </c>
      <c r="M704" s="9">
        <v>68</v>
      </c>
      <c r="N704" s="9">
        <f t="shared" si="57"/>
        <v>52</v>
      </c>
      <c r="O704" s="9"/>
      <c r="P704" s="9"/>
      <c r="Q704" s="25"/>
      <c r="R704" s="11">
        <v>0</v>
      </c>
      <c r="S704" s="1">
        <v>1.19</v>
      </c>
      <c r="T704" s="1">
        <f t="shared" si="58"/>
        <v>1.19</v>
      </c>
      <c r="U704" s="12">
        <v>0</v>
      </c>
      <c r="V704" s="13">
        <v>3.4371800000000001</v>
      </c>
      <c r="W704" s="14">
        <f t="shared" si="59"/>
        <v>21269.269839999997</v>
      </c>
      <c r="X704" s="25"/>
      <c r="Y704" s="14">
        <f t="shared" si="62"/>
        <v>21269.269839999997</v>
      </c>
      <c r="Z704" s="3"/>
      <c r="AA704" s="3"/>
      <c r="AB704" s="5"/>
      <c r="AC704" s="1"/>
      <c r="AD704" s="28"/>
      <c r="AE704" s="28"/>
      <c r="AF704" s="3"/>
      <c r="AG704" s="7"/>
      <c r="AH704" s="7"/>
      <c r="AI704" s="3" t="s">
        <v>75</v>
      </c>
      <c r="AJ704" s="7" t="s">
        <v>79</v>
      </c>
      <c r="AK704" s="3"/>
      <c r="AL704" cm="1">
        <f t="array" ref="AL704">IF(getColor(V704) = 16777215, 0, 1)</f>
        <v>0</v>
      </c>
    </row>
    <row r="705" spans="1:38">
      <c r="A705" s="1">
        <v>704</v>
      </c>
      <c r="B705" s="3" t="s">
        <v>27</v>
      </c>
      <c r="C705" s="7" t="s">
        <v>342</v>
      </c>
      <c r="D705" s="7" t="s">
        <v>162</v>
      </c>
      <c r="E705" s="8">
        <v>55.962500000000006</v>
      </c>
      <c r="F705" s="8">
        <v>-133.60277777777776</v>
      </c>
      <c r="G705" s="9" t="s">
        <v>30</v>
      </c>
      <c r="H705" s="3" t="s">
        <v>31</v>
      </c>
      <c r="I705" s="3" t="s">
        <v>31</v>
      </c>
      <c r="J705" s="3" t="s">
        <v>31</v>
      </c>
      <c r="K705" s="7" t="s">
        <v>38</v>
      </c>
      <c r="L705" s="9">
        <v>68</v>
      </c>
      <c r="M705" s="9">
        <v>118</v>
      </c>
      <c r="N705" s="9">
        <f t="shared" si="57"/>
        <v>50</v>
      </c>
      <c r="O705" s="9"/>
      <c r="P705" s="9"/>
      <c r="Q705" s="25"/>
      <c r="R705" s="11">
        <v>0</v>
      </c>
      <c r="S705" s="1">
        <v>1.91</v>
      </c>
      <c r="T705" s="1">
        <f t="shared" si="58"/>
        <v>1.91</v>
      </c>
      <c r="U705" s="12">
        <v>35</v>
      </c>
      <c r="V705" s="13">
        <v>0.72412500000000002</v>
      </c>
      <c r="W705" s="14">
        <f t="shared" si="59"/>
        <v>4495.0059375000001</v>
      </c>
      <c r="X705" s="25"/>
      <c r="Y705" s="14">
        <f>IF(L705&gt;-100,W705-W705*(ABS(M705)-100)/(ABS(M705)-ABS(L705)),0)</f>
        <v>2876.8038000000001</v>
      </c>
      <c r="Z705" s="3"/>
      <c r="AA705" s="3"/>
      <c r="AB705" s="5"/>
      <c r="AC705" s="1"/>
      <c r="AD705" s="28"/>
      <c r="AE705" s="28"/>
      <c r="AF705" s="3"/>
      <c r="AG705" s="7"/>
      <c r="AH705" s="7"/>
      <c r="AI705" s="3" t="s">
        <v>75</v>
      </c>
      <c r="AJ705" s="7" t="s">
        <v>38</v>
      </c>
      <c r="AK705" s="3"/>
      <c r="AL705" cm="1">
        <f t="array" ref="AL705">IF(getColor(V705) = 16777215, 0, 1)</f>
        <v>0</v>
      </c>
    </row>
    <row r="706" spans="1:38">
      <c r="A706" s="1">
        <v>705</v>
      </c>
      <c r="B706" s="3" t="s">
        <v>27</v>
      </c>
      <c r="C706" s="7" t="s">
        <v>345</v>
      </c>
      <c r="D706" s="7" t="s">
        <v>126</v>
      </c>
      <c r="E706" s="8">
        <v>55.962500000000006</v>
      </c>
      <c r="F706" s="8">
        <v>-133.60277777777776</v>
      </c>
      <c r="G706" s="9" t="s">
        <v>30</v>
      </c>
      <c r="H706" s="3" t="s">
        <v>31</v>
      </c>
      <c r="I706" s="3" t="s">
        <v>31</v>
      </c>
      <c r="J706" s="3" t="s">
        <v>31</v>
      </c>
      <c r="K706" s="7" t="s">
        <v>51</v>
      </c>
      <c r="L706" s="9">
        <v>18</v>
      </c>
      <c r="M706" s="9">
        <v>13</v>
      </c>
      <c r="N706" s="9">
        <f t="shared" ref="N706:N769" si="63">ABS(M706-L706)</f>
        <v>5</v>
      </c>
      <c r="O706" s="29">
        <f>M711</f>
        <v>97</v>
      </c>
      <c r="P706" s="29">
        <f>L706</f>
        <v>18</v>
      </c>
      <c r="Q706" s="29">
        <f>P706+O706</f>
        <v>115</v>
      </c>
      <c r="R706" s="11">
        <v>0</v>
      </c>
      <c r="S706" s="1">
        <v>0.12</v>
      </c>
      <c r="T706" s="1">
        <f t="shared" ref="T706:T769" si="64">IF(R706=0,S706,R706)</f>
        <v>0.12</v>
      </c>
      <c r="U706" s="12">
        <v>0</v>
      </c>
      <c r="V706" s="13">
        <v>38.359314999999995</v>
      </c>
      <c r="W706" s="14">
        <f t="shared" si="59"/>
        <v>2301.5588999999991</v>
      </c>
      <c r="X706" s="14">
        <f>SUM(W706:W711)</f>
        <v>39036.929740899999</v>
      </c>
      <c r="Y706" s="14">
        <f t="shared" ref="Y706:Y730" si="65">T706*V706/100*N706*100*100*((100-U706)/100)</f>
        <v>2301.5588999999991</v>
      </c>
      <c r="Z706" s="15">
        <f>SUM(Y706:Y711)/10^6*10^4</f>
        <v>390.36929740900001</v>
      </c>
      <c r="AA706" s="16">
        <v>76.864995313899527</v>
      </c>
      <c r="AB706" s="5"/>
      <c r="AC706" s="1"/>
      <c r="AD706" s="28"/>
      <c r="AE706" s="28"/>
      <c r="AF706" s="3"/>
      <c r="AG706" s="7"/>
      <c r="AH706" s="7"/>
      <c r="AI706" s="3" t="s">
        <v>75</v>
      </c>
      <c r="AJ706" s="7" t="s">
        <v>67</v>
      </c>
      <c r="AK706" s="3"/>
      <c r="AL706" cm="1">
        <f t="array" ref="AL706">IF(getColor(V706) = 16777215, 0, 1)</f>
        <v>0</v>
      </c>
    </row>
    <row r="707" spans="1:38">
      <c r="A707" s="1">
        <v>706</v>
      </c>
      <c r="B707" s="3" t="s">
        <v>27</v>
      </c>
      <c r="C707" s="7" t="s">
        <v>345</v>
      </c>
      <c r="D707" s="7" t="s">
        <v>126</v>
      </c>
      <c r="E707" s="8">
        <v>55.962500000000006</v>
      </c>
      <c r="F707" s="8">
        <v>-133.60277777777776</v>
      </c>
      <c r="G707" s="9" t="s">
        <v>30</v>
      </c>
      <c r="H707" s="3" t="s">
        <v>31</v>
      </c>
      <c r="I707" s="3" t="s">
        <v>31</v>
      </c>
      <c r="J707" s="3" t="s">
        <v>31</v>
      </c>
      <c r="K707" s="7" t="s">
        <v>49</v>
      </c>
      <c r="L707" s="9">
        <v>13</v>
      </c>
      <c r="M707" s="9">
        <v>0</v>
      </c>
      <c r="N707" s="9">
        <f t="shared" si="63"/>
        <v>13</v>
      </c>
      <c r="O707" s="9"/>
      <c r="P707" s="9"/>
      <c r="Q707" s="25"/>
      <c r="R707" s="11">
        <v>0</v>
      </c>
      <c r="S707" s="1">
        <v>0.08</v>
      </c>
      <c r="T707" s="1">
        <f t="shared" si="64"/>
        <v>0.08</v>
      </c>
      <c r="U707" s="12">
        <v>0</v>
      </c>
      <c r="V707" s="13">
        <v>60.623745</v>
      </c>
      <c r="W707" s="14">
        <f t="shared" ref="W707:W770" si="66">T707*V707/100*N707*100*100*((100-U707)/100)</f>
        <v>6304.8694799999994</v>
      </c>
      <c r="X707" s="25"/>
      <c r="Y707" s="14">
        <f t="shared" si="65"/>
        <v>6304.8694799999994</v>
      </c>
      <c r="Z707" s="3"/>
      <c r="AA707" s="3"/>
      <c r="AB707" s="5"/>
      <c r="AC707" s="5"/>
      <c r="AD707" s="28"/>
      <c r="AE707" s="28"/>
      <c r="AF707" s="3"/>
      <c r="AG707" s="7"/>
      <c r="AH707" s="7"/>
      <c r="AI707" s="3" t="s">
        <v>75</v>
      </c>
      <c r="AJ707" s="7" t="s">
        <v>60</v>
      </c>
      <c r="AK707" s="3"/>
      <c r="AL707" cm="1">
        <f t="array" ref="AL707">IF(getColor(V707) = 16777215, 0, 1)</f>
        <v>0</v>
      </c>
    </row>
    <row r="708" spans="1:38">
      <c r="A708" s="1">
        <v>707</v>
      </c>
      <c r="B708" s="3" t="s">
        <v>27</v>
      </c>
      <c r="C708" s="7" t="s">
        <v>345</v>
      </c>
      <c r="D708" s="7" t="s">
        <v>126</v>
      </c>
      <c r="E708" s="8">
        <v>55.962500000000006</v>
      </c>
      <c r="F708" s="8">
        <v>-133.60277777777776</v>
      </c>
      <c r="G708" s="9" t="s">
        <v>30</v>
      </c>
      <c r="H708" s="3" t="s">
        <v>31</v>
      </c>
      <c r="I708" s="3" t="s">
        <v>31</v>
      </c>
      <c r="J708" s="3" t="s">
        <v>31</v>
      </c>
      <c r="K708" s="7" t="s">
        <v>47</v>
      </c>
      <c r="L708" s="9">
        <v>0</v>
      </c>
      <c r="M708" s="9">
        <v>3</v>
      </c>
      <c r="N708" s="9">
        <f t="shared" si="63"/>
        <v>3</v>
      </c>
      <c r="O708" s="9"/>
      <c r="P708" s="9"/>
      <c r="Q708" s="25"/>
      <c r="R708" s="11">
        <v>0</v>
      </c>
      <c r="S708" s="1">
        <v>1.31</v>
      </c>
      <c r="T708" s="1">
        <f t="shared" si="64"/>
        <v>1.31</v>
      </c>
      <c r="U708" s="12">
        <v>8</v>
      </c>
      <c r="V708" s="13">
        <v>9.6067249999999991</v>
      </c>
      <c r="W708" s="14">
        <f t="shared" si="66"/>
        <v>3473.4074910000004</v>
      </c>
      <c r="X708" s="25"/>
      <c r="Y708" s="14">
        <f t="shared" si="65"/>
        <v>3473.4074910000004</v>
      </c>
      <c r="Z708" s="3"/>
      <c r="AA708" s="3"/>
      <c r="AB708" s="5"/>
      <c r="AC708" s="1"/>
      <c r="AD708" s="28"/>
      <c r="AE708" s="28"/>
      <c r="AF708" s="3"/>
      <c r="AG708" s="7"/>
      <c r="AH708" s="7"/>
      <c r="AI708" s="3" t="s">
        <v>75</v>
      </c>
      <c r="AJ708" s="7" t="s">
        <v>47</v>
      </c>
      <c r="AK708" s="3"/>
      <c r="AL708" cm="1">
        <f t="array" ref="AL708">IF(getColor(V708) = 16777215, 0, 1)</f>
        <v>0</v>
      </c>
    </row>
    <row r="709" spans="1:38">
      <c r="A709" s="1">
        <v>708</v>
      </c>
      <c r="B709" s="3" t="s">
        <v>27</v>
      </c>
      <c r="C709" s="7" t="s">
        <v>345</v>
      </c>
      <c r="D709" s="7" t="s">
        <v>126</v>
      </c>
      <c r="E709" s="8">
        <v>55.962500000000006</v>
      </c>
      <c r="F709" s="8">
        <v>-133.60277777777776</v>
      </c>
      <c r="G709" s="9" t="s">
        <v>30</v>
      </c>
      <c r="H709" s="3" t="s">
        <v>31</v>
      </c>
      <c r="I709" s="3" t="s">
        <v>31</v>
      </c>
      <c r="J709" s="3" t="s">
        <v>31</v>
      </c>
      <c r="K709" s="7" t="s">
        <v>77</v>
      </c>
      <c r="L709" s="9">
        <v>3</v>
      </c>
      <c r="M709" s="9">
        <v>22</v>
      </c>
      <c r="N709" s="9">
        <f t="shared" si="63"/>
        <v>19</v>
      </c>
      <c r="O709" s="9"/>
      <c r="P709" s="9"/>
      <c r="Q709" s="25"/>
      <c r="R709" s="11">
        <v>0</v>
      </c>
      <c r="S709" s="1">
        <v>1.19</v>
      </c>
      <c r="T709" s="1">
        <f t="shared" si="64"/>
        <v>1.19</v>
      </c>
      <c r="U709" s="12">
        <v>36</v>
      </c>
      <c r="V709" s="13">
        <v>7.7915850000000004</v>
      </c>
      <c r="W709" s="14">
        <f t="shared" si="66"/>
        <v>11274.735158400001</v>
      </c>
      <c r="X709" s="25"/>
      <c r="Y709" s="14">
        <f t="shared" si="65"/>
        <v>11274.735158400001</v>
      </c>
      <c r="Z709" s="3"/>
      <c r="AA709" s="3"/>
      <c r="AB709" s="5"/>
      <c r="AC709" s="1"/>
      <c r="AD709" s="28"/>
      <c r="AE709" s="28"/>
      <c r="AF709" s="3"/>
      <c r="AG709" s="7"/>
      <c r="AH709" s="7"/>
      <c r="AI709" s="3" t="s">
        <v>75</v>
      </c>
      <c r="AJ709" s="7" t="s">
        <v>78</v>
      </c>
      <c r="AK709" s="3"/>
      <c r="AL709" cm="1">
        <f t="array" ref="AL709">IF(getColor(V709) = 16777215, 0, 1)</f>
        <v>0</v>
      </c>
    </row>
    <row r="710" spans="1:38">
      <c r="A710" s="1">
        <v>709</v>
      </c>
      <c r="B710" s="3" t="s">
        <v>27</v>
      </c>
      <c r="C710" s="7" t="s">
        <v>345</v>
      </c>
      <c r="D710" s="7" t="s">
        <v>126</v>
      </c>
      <c r="E710" s="8">
        <v>55.962500000000006</v>
      </c>
      <c r="F710" s="8">
        <v>-133.60277777777776</v>
      </c>
      <c r="G710" s="9" t="s">
        <v>30</v>
      </c>
      <c r="H710" s="3" t="s">
        <v>31</v>
      </c>
      <c r="I710" s="3" t="s">
        <v>31</v>
      </c>
      <c r="J710" s="3" t="s">
        <v>31</v>
      </c>
      <c r="K710" s="7" t="s">
        <v>79</v>
      </c>
      <c r="L710" s="9">
        <v>22</v>
      </c>
      <c r="M710" s="9">
        <v>45</v>
      </c>
      <c r="N710" s="9">
        <f t="shared" si="63"/>
        <v>23</v>
      </c>
      <c r="O710" s="9"/>
      <c r="P710" s="9"/>
      <c r="Q710" s="25"/>
      <c r="R710" s="11">
        <v>0</v>
      </c>
      <c r="S710" s="1">
        <v>1.19</v>
      </c>
      <c r="T710" s="1">
        <f t="shared" si="64"/>
        <v>1.19</v>
      </c>
      <c r="U710" s="12">
        <v>38</v>
      </c>
      <c r="V710" s="13">
        <v>4.3930249999999997</v>
      </c>
      <c r="W710" s="14">
        <f t="shared" si="66"/>
        <v>7454.6998434999987</v>
      </c>
      <c r="X710" s="25"/>
      <c r="Y710" s="14">
        <f t="shared" si="65"/>
        <v>7454.6998434999987</v>
      </c>
      <c r="Z710" s="3"/>
      <c r="AA710" s="3"/>
      <c r="AB710" s="5"/>
      <c r="AC710" s="1"/>
      <c r="AD710" s="28"/>
      <c r="AE710" s="28"/>
      <c r="AF710" s="3"/>
      <c r="AG710" s="7"/>
      <c r="AH710" s="7"/>
      <c r="AI710" s="3" t="s">
        <v>75</v>
      </c>
      <c r="AJ710" s="7" t="s">
        <v>79</v>
      </c>
      <c r="AK710" s="3"/>
      <c r="AL710" cm="1">
        <f t="array" ref="AL710">IF(getColor(V710) = 16777215, 0, 1)</f>
        <v>0</v>
      </c>
    </row>
    <row r="711" spans="1:38">
      <c r="A711" s="1">
        <v>710</v>
      </c>
      <c r="B711" s="3" t="s">
        <v>27</v>
      </c>
      <c r="C711" s="7" t="s">
        <v>345</v>
      </c>
      <c r="D711" s="7" t="s">
        <v>126</v>
      </c>
      <c r="E711" s="8">
        <v>55.962500000000006</v>
      </c>
      <c r="F711" s="8">
        <v>-133.60277777777776</v>
      </c>
      <c r="G711" s="9" t="s">
        <v>30</v>
      </c>
      <c r="H711" s="3" t="s">
        <v>31</v>
      </c>
      <c r="I711" s="3" t="s">
        <v>31</v>
      </c>
      <c r="J711" s="3" t="s">
        <v>31</v>
      </c>
      <c r="K711" s="7" t="s">
        <v>44</v>
      </c>
      <c r="L711" s="9">
        <v>45</v>
      </c>
      <c r="M711" s="9">
        <v>97</v>
      </c>
      <c r="N711" s="9">
        <f t="shared" si="63"/>
        <v>52</v>
      </c>
      <c r="O711" s="9"/>
      <c r="P711" s="9"/>
      <c r="Q711" s="25"/>
      <c r="R711" s="11">
        <v>0</v>
      </c>
      <c r="S711" s="1">
        <v>1.91</v>
      </c>
      <c r="T711" s="1">
        <f t="shared" si="64"/>
        <v>1.91</v>
      </c>
      <c r="U711" s="12">
        <v>34</v>
      </c>
      <c r="V711" s="13">
        <v>1.25515</v>
      </c>
      <c r="W711" s="14">
        <f t="shared" si="66"/>
        <v>8227.6588680000004</v>
      </c>
      <c r="X711" s="25"/>
      <c r="Y711" s="14">
        <f t="shared" si="65"/>
        <v>8227.6588680000004</v>
      </c>
      <c r="Z711" s="3"/>
      <c r="AA711" s="3"/>
      <c r="AB711" s="5"/>
      <c r="AC711" s="1"/>
      <c r="AD711" s="28"/>
      <c r="AE711" s="28"/>
      <c r="AF711" s="3"/>
      <c r="AG711" s="7"/>
      <c r="AH711" s="7"/>
      <c r="AI711" s="3" t="s">
        <v>75</v>
      </c>
      <c r="AJ711" s="7" t="s">
        <v>44</v>
      </c>
      <c r="AK711" s="3"/>
      <c r="AL711" cm="1">
        <f t="array" ref="AL711">IF(getColor(V711) = 16777215, 0, 1)</f>
        <v>0</v>
      </c>
    </row>
    <row r="712" spans="1:38">
      <c r="A712" s="1">
        <v>711</v>
      </c>
      <c r="B712" s="3" t="s">
        <v>27</v>
      </c>
      <c r="C712" s="7" t="s">
        <v>346</v>
      </c>
      <c r="D712" s="7" t="s">
        <v>302</v>
      </c>
      <c r="E712" s="8">
        <v>55.9666</v>
      </c>
      <c r="F712" s="8">
        <v>-133.61249999999998</v>
      </c>
      <c r="G712" s="9" t="s">
        <v>30</v>
      </c>
      <c r="H712" s="3" t="s">
        <v>31</v>
      </c>
      <c r="I712" s="3" t="s">
        <v>31</v>
      </c>
      <c r="J712" s="3" t="s">
        <v>31</v>
      </c>
      <c r="K712" s="7" t="s">
        <v>310</v>
      </c>
      <c r="L712" s="9">
        <v>6</v>
      </c>
      <c r="M712" s="9">
        <v>0</v>
      </c>
      <c r="N712" s="9">
        <f t="shared" si="63"/>
        <v>6</v>
      </c>
      <c r="O712" s="29">
        <f>M716</f>
        <v>82</v>
      </c>
      <c r="P712" s="29">
        <f>L712</f>
        <v>6</v>
      </c>
      <c r="Q712" s="29">
        <f>P712+O712</f>
        <v>88</v>
      </c>
      <c r="R712" s="11">
        <v>0</v>
      </c>
      <c r="S712" s="1">
        <v>0.12</v>
      </c>
      <c r="T712" s="1">
        <f t="shared" si="64"/>
        <v>0.12</v>
      </c>
      <c r="U712" s="12">
        <v>0</v>
      </c>
      <c r="V712" s="13">
        <v>46.228140000000003</v>
      </c>
      <c r="W712" s="14">
        <f t="shared" si="66"/>
        <v>3328.4260800000006</v>
      </c>
      <c r="X712" s="14">
        <f>SUM(W712:W716)</f>
        <v>53027.859898399991</v>
      </c>
      <c r="Y712" s="14">
        <f t="shared" si="65"/>
        <v>3328.4260800000006</v>
      </c>
      <c r="Z712" s="15">
        <f>SUM(Y712:Y716)/10^6*10^4</f>
        <v>530.27859898399993</v>
      </c>
      <c r="AA712" s="16">
        <v>47.884329516807384</v>
      </c>
      <c r="AB712" s="5"/>
      <c r="AC712" s="1"/>
      <c r="AD712" s="28"/>
      <c r="AE712" s="28"/>
      <c r="AF712" s="3"/>
      <c r="AG712" s="7"/>
      <c r="AH712" s="7"/>
      <c r="AI712" s="3" t="s">
        <v>75</v>
      </c>
      <c r="AJ712" s="7" t="s">
        <v>311</v>
      </c>
      <c r="AK712" s="3"/>
      <c r="AL712" cm="1">
        <f t="array" ref="AL712">IF(getColor(V712) = 16777215, 0, 1)</f>
        <v>0</v>
      </c>
    </row>
    <row r="713" spans="1:38">
      <c r="A713" s="1">
        <v>712</v>
      </c>
      <c r="B713" s="3" t="s">
        <v>27</v>
      </c>
      <c r="C713" s="7" t="s">
        <v>346</v>
      </c>
      <c r="D713" s="7" t="s">
        <v>302</v>
      </c>
      <c r="E713" s="8">
        <v>55.9666</v>
      </c>
      <c r="F713" s="8">
        <v>-133.61249999999998</v>
      </c>
      <c r="G713" s="9" t="s">
        <v>30</v>
      </c>
      <c r="H713" s="3" t="s">
        <v>31</v>
      </c>
      <c r="I713" s="3" t="s">
        <v>31</v>
      </c>
      <c r="J713" s="3" t="s">
        <v>31</v>
      </c>
      <c r="K713" s="7" t="s">
        <v>69</v>
      </c>
      <c r="L713" s="9">
        <v>0</v>
      </c>
      <c r="M713" s="9">
        <v>17</v>
      </c>
      <c r="N713" s="9">
        <f t="shared" si="63"/>
        <v>17</v>
      </c>
      <c r="O713" s="9"/>
      <c r="P713" s="9"/>
      <c r="Q713" s="25"/>
      <c r="R713" s="11">
        <v>0</v>
      </c>
      <c r="S713" s="1">
        <v>1.46</v>
      </c>
      <c r="T713" s="1">
        <f t="shared" si="64"/>
        <v>1.46</v>
      </c>
      <c r="U713" s="12">
        <v>13</v>
      </c>
      <c r="V713" s="13">
        <v>6.5267799999999996</v>
      </c>
      <c r="W713" s="14">
        <f t="shared" si="66"/>
        <v>14093.537125199999</v>
      </c>
      <c r="X713" s="25"/>
      <c r="Y713" s="14">
        <f t="shared" si="65"/>
        <v>14093.537125199999</v>
      </c>
      <c r="Z713" s="3"/>
      <c r="AA713" s="3"/>
      <c r="AB713" s="5"/>
      <c r="AC713" s="5"/>
      <c r="AD713" s="28"/>
      <c r="AE713" s="28"/>
      <c r="AF713" s="3"/>
      <c r="AG713" s="7"/>
      <c r="AH713" s="7"/>
      <c r="AI713" s="3" t="s">
        <v>75</v>
      </c>
      <c r="AJ713" s="7" t="s">
        <v>70</v>
      </c>
      <c r="AK713" s="3"/>
      <c r="AL713" cm="1">
        <f t="array" ref="AL713">IF(getColor(V713) = 16777215, 0, 1)</f>
        <v>0</v>
      </c>
    </row>
    <row r="714" spans="1:38">
      <c r="A714" s="1">
        <v>713</v>
      </c>
      <c r="B714" s="3" t="s">
        <v>27</v>
      </c>
      <c r="C714" s="7" t="s">
        <v>346</v>
      </c>
      <c r="D714" s="7" t="s">
        <v>302</v>
      </c>
      <c r="E714" s="8">
        <v>55.9666</v>
      </c>
      <c r="F714" s="8">
        <v>-133.61249999999998</v>
      </c>
      <c r="G714" s="9" t="s">
        <v>30</v>
      </c>
      <c r="H714" s="3" t="s">
        <v>31</v>
      </c>
      <c r="I714" s="3" t="s">
        <v>31</v>
      </c>
      <c r="J714" s="3" t="s">
        <v>31</v>
      </c>
      <c r="K714" s="7" t="s">
        <v>347</v>
      </c>
      <c r="L714" s="9">
        <v>17</v>
      </c>
      <c r="M714" s="9">
        <v>25</v>
      </c>
      <c r="N714" s="9">
        <f t="shared" si="63"/>
        <v>8</v>
      </c>
      <c r="O714" s="9"/>
      <c r="P714" s="9"/>
      <c r="Q714" s="25"/>
      <c r="R714" s="11">
        <v>0</v>
      </c>
      <c r="S714" s="1">
        <v>1.46</v>
      </c>
      <c r="T714" s="1">
        <f t="shared" si="64"/>
        <v>1.46</v>
      </c>
      <c r="U714" s="12">
        <v>8</v>
      </c>
      <c r="V714" s="13">
        <v>9.8287899999999997</v>
      </c>
      <c r="W714" s="14">
        <f t="shared" si="66"/>
        <v>10561.624582399998</v>
      </c>
      <c r="X714" s="25"/>
      <c r="Y714" s="14">
        <f t="shared" si="65"/>
        <v>10561.624582399998</v>
      </c>
      <c r="Z714" s="3"/>
      <c r="AA714" s="3"/>
      <c r="AB714" s="5"/>
      <c r="AC714" s="1"/>
      <c r="AD714" s="28"/>
      <c r="AE714" s="28"/>
      <c r="AF714" s="3"/>
      <c r="AG714" s="7"/>
      <c r="AH714" s="7"/>
      <c r="AI714" s="3" t="s">
        <v>75</v>
      </c>
      <c r="AJ714" s="7" t="s">
        <v>348</v>
      </c>
      <c r="AK714" s="3"/>
      <c r="AL714" cm="1">
        <f t="array" ref="AL714">IF(getColor(V714) = 16777215, 0, 1)</f>
        <v>0</v>
      </c>
    </row>
    <row r="715" spans="1:38">
      <c r="A715" s="1">
        <v>714</v>
      </c>
      <c r="B715" s="3" t="s">
        <v>27</v>
      </c>
      <c r="C715" s="7" t="s">
        <v>346</v>
      </c>
      <c r="D715" s="7" t="s">
        <v>302</v>
      </c>
      <c r="E715" s="8">
        <v>55.9666</v>
      </c>
      <c r="F715" s="8">
        <v>-133.61249999999998</v>
      </c>
      <c r="G715" s="9" t="s">
        <v>30</v>
      </c>
      <c r="H715" s="3" t="s">
        <v>31</v>
      </c>
      <c r="I715" s="3" t="s">
        <v>31</v>
      </c>
      <c r="J715" s="3" t="s">
        <v>31</v>
      </c>
      <c r="K715" s="7" t="s">
        <v>71</v>
      </c>
      <c r="L715" s="9">
        <v>25</v>
      </c>
      <c r="M715" s="9">
        <v>36</v>
      </c>
      <c r="N715" s="9">
        <f t="shared" si="63"/>
        <v>11</v>
      </c>
      <c r="O715" s="9"/>
      <c r="P715" s="9"/>
      <c r="Q715" s="25"/>
      <c r="R715" s="11">
        <v>0</v>
      </c>
      <c r="S715" s="1">
        <v>1.46</v>
      </c>
      <c r="T715" s="1">
        <f t="shared" si="64"/>
        <v>1.46</v>
      </c>
      <c r="U715" s="12">
        <v>16</v>
      </c>
      <c r="V715" s="13">
        <v>4.2578550000000002</v>
      </c>
      <c r="W715" s="14">
        <f t="shared" si="66"/>
        <v>5744.0167092000002</v>
      </c>
      <c r="X715" s="25"/>
      <c r="Y715" s="14">
        <f t="shared" si="65"/>
        <v>5744.0167092000002</v>
      </c>
      <c r="Z715" s="3"/>
      <c r="AA715" s="3"/>
      <c r="AB715" s="5"/>
      <c r="AC715" s="1"/>
      <c r="AD715" s="28"/>
      <c r="AE715" s="28"/>
      <c r="AF715" s="3"/>
      <c r="AG715" s="7"/>
      <c r="AH715" s="7"/>
      <c r="AI715" s="3" t="s">
        <v>75</v>
      </c>
      <c r="AJ715" s="7" t="s">
        <v>72</v>
      </c>
      <c r="AK715" s="3"/>
      <c r="AL715" cm="1">
        <f t="array" ref="AL715">IF(getColor(V715) = 16777215, 0, 1)</f>
        <v>0</v>
      </c>
    </row>
    <row r="716" spans="1:38">
      <c r="A716" s="1">
        <v>715</v>
      </c>
      <c r="B716" s="3" t="s">
        <v>27</v>
      </c>
      <c r="C716" s="7" t="s">
        <v>346</v>
      </c>
      <c r="D716" s="7" t="s">
        <v>302</v>
      </c>
      <c r="E716" s="8">
        <v>55.9666</v>
      </c>
      <c r="F716" s="8">
        <v>-133.61249999999998</v>
      </c>
      <c r="G716" s="9" t="s">
        <v>30</v>
      </c>
      <c r="H716" s="3" t="s">
        <v>31</v>
      </c>
      <c r="I716" s="3" t="s">
        <v>31</v>
      </c>
      <c r="J716" s="3" t="s">
        <v>31</v>
      </c>
      <c r="K716" s="7" t="s">
        <v>349</v>
      </c>
      <c r="L716" s="9">
        <v>36</v>
      </c>
      <c r="M716" s="9">
        <v>82</v>
      </c>
      <c r="N716" s="9">
        <f t="shared" si="63"/>
        <v>46</v>
      </c>
      <c r="O716" s="9"/>
      <c r="P716" s="9"/>
      <c r="Q716" s="25"/>
      <c r="R716" s="11">
        <v>0</v>
      </c>
      <c r="S716" s="1">
        <v>1.91</v>
      </c>
      <c r="T716" s="1">
        <f t="shared" si="64"/>
        <v>1.91</v>
      </c>
      <c r="U716" s="12">
        <v>21</v>
      </c>
      <c r="V716" s="13">
        <v>2.78064</v>
      </c>
      <c r="W716" s="14">
        <f t="shared" si="66"/>
        <v>19300.255401599999</v>
      </c>
      <c r="X716" s="25"/>
      <c r="Y716" s="14">
        <f t="shared" si="65"/>
        <v>19300.255401599999</v>
      </c>
      <c r="Z716" s="3"/>
      <c r="AA716" s="3"/>
      <c r="AB716" s="5"/>
      <c r="AC716" s="1"/>
      <c r="AD716" s="28"/>
      <c r="AE716" s="28"/>
      <c r="AF716" s="3"/>
      <c r="AG716" s="7"/>
      <c r="AH716" s="7"/>
      <c r="AI716" s="3" t="s">
        <v>75</v>
      </c>
      <c r="AJ716" s="7" t="s">
        <v>349</v>
      </c>
      <c r="AK716" s="3"/>
      <c r="AL716" cm="1">
        <f t="array" ref="AL716">IF(getColor(V716) = 16777215, 0, 1)</f>
        <v>0</v>
      </c>
    </row>
    <row r="717" spans="1:38">
      <c r="A717" s="1">
        <v>716</v>
      </c>
      <c r="B717" s="3" t="s">
        <v>27</v>
      </c>
      <c r="C717" s="7" t="s">
        <v>350</v>
      </c>
      <c r="D717" s="7" t="s">
        <v>302</v>
      </c>
      <c r="E717" s="8">
        <v>55.9666</v>
      </c>
      <c r="F717" s="8">
        <v>-133.61249999999998</v>
      </c>
      <c r="G717" s="9" t="s">
        <v>30</v>
      </c>
      <c r="H717" s="3" t="s">
        <v>31</v>
      </c>
      <c r="I717" s="3" t="s">
        <v>31</v>
      </c>
      <c r="J717" s="3" t="s">
        <v>31</v>
      </c>
      <c r="K717" s="7" t="s">
        <v>310</v>
      </c>
      <c r="L717" s="9">
        <v>8</v>
      </c>
      <c r="M717" s="9">
        <v>0</v>
      </c>
      <c r="N717" s="9">
        <f t="shared" si="63"/>
        <v>8</v>
      </c>
      <c r="O717" s="29">
        <f>M719</f>
        <v>88</v>
      </c>
      <c r="P717" s="29">
        <f>L717</f>
        <v>8</v>
      </c>
      <c r="Q717" s="29">
        <f>P717+O717</f>
        <v>96</v>
      </c>
      <c r="R717" s="11">
        <v>0</v>
      </c>
      <c r="S717" s="1">
        <v>0.12</v>
      </c>
      <c r="T717" s="1">
        <f t="shared" si="64"/>
        <v>0.12</v>
      </c>
      <c r="U717" s="12">
        <v>0</v>
      </c>
      <c r="V717" s="13">
        <v>39.179989999999997</v>
      </c>
      <c r="W717" s="14">
        <f t="shared" si="66"/>
        <v>3761.2790399999994</v>
      </c>
      <c r="X717" s="14">
        <f>SUM(W717:W719)</f>
        <v>53813.802870350002</v>
      </c>
      <c r="Y717" s="14">
        <f t="shared" si="65"/>
        <v>3761.2790399999994</v>
      </c>
      <c r="Z717" s="15">
        <f>SUM(Y717:Y719)/10^6*10^4</f>
        <v>538.13802870350003</v>
      </c>
      <c r="AA717" s="16">
        <v>54.054665313917525</v>
      </c>
      <c r="AB717" s="5"/>
      <c r="AC717" s="1"/>
      <c r="AD717" s="28"/>
      <c r="AE717" s="28"/>
      <c r="AF717" s="3"/>
      <c r="AG717" s="7"/>
      <c r="AH717" s="7"/>
      <c r="AI717" s="3" t="s">
        <v>75</v>
      </c>
      <c r="AJ717" s="7" t="s">
        <v>311</v>
      </c>
      <c r="AK717" s="3"/>
      <c r="AL717" cm="1">
        <f t="array" ref="AL717">IF(getColor(V717) = 16777215, 0, 1)</f>
        <v>0</v>
      </c>
    </row>
    <row r="718" spans="1:38">
      <c r="A718" s="1">
        <v>717</v>
      </c>
      <c r="B718" s="3" t="s">
        <v>27</v>
      </c>
      <c r="C718" s="7" t="s">
        <v>350</v>
      </c>
      <c r="D718" s="7" t="s">
        <v>302</v>
      </c>
      <c r="E718" s="8">
        <v>55.9666</v>
      </c>
      <c r="F718" s="8">
        <v>-133.61249999999998</v>
      </c>
      <c r="G718" s="9" t="s">
        <v>30</v>
      </c>
      <c r="H718" s="3" t="s">
        <v>31</v>
      </c>
      <c r="I718" s="3" t="s">
        <v>31</v>
      </c>
      <c r="J718" s="3" t="s">
        <v>31</v>
      </c>
      <c r="K718" s="7" t="s">
        <v>351</v>
      </c>
      <c r="L718" s="9">
        <v>0</v>
      </c>
      <c r="M718" s="9">
        <v>29</v>
      </c>
      <c r="N718" s="9">
        <f t="shared" si="63"/>
        <v>29</v>
      </c>
      <c r="O718" s="9"/>
      <c r="P718" s="9"/>
      <c r="Q718" s="25"/>
      <c r="R718" s="11">
        <v>0</v>
      </c>
      <c r="S718" s="1">
        <v>1.19</v>
      </c>
      <c r="T718" s="1">
        <f t="shared" si="64"/>
        <v>1.19</v>
      </c>
      <c r="U718" s="12">
        <v>18</v>
      </c>
      <c r="V718" s="13">
        <v>10.060510000000001</v>
      </c>
      <c r="W718" s="14">
        <f t="shared" si="66"/>
        <v>28469.432408200002</v>
      </c>
      <c r="X718" s="25"/>
      <c r="Y718" s="14">
        <f t="shared" si="65"/>
        <v>28469.432408200002</v>
      </c>
      <c r="Z718" s="3"/>
      <c r="AA718" s="3"/>
      <c r="AB718" s="5"/>
      <c r="AC718" s="5"/>
      <c r="AD718" s="28"/>
      <c r="AE718" s="28"/>
      <c r="AF718" s="3"/>
      <c r="AG718" s="7"/>
      <c r="AH718" s="7"/>
      <c r="AI718" s="3" t="s">
        <v>75</v>
      </c>
      <c r="AJ718" s="7" t="s">
        <v>352</v>
      </c>
      <c r="AK718" s="3"/>
      <c r="AL718" cm="1">
        <f t="array" ref="AL718">IF(getColor(V718) = 16777215, 0, 1)</f>
        <v>0</v>
      </c>
    </row>
    <row r="719" spans="1:38">
      <c r="A719" s="1">
        <v>718</v>
      </c>
      <c r="B719" s="3" t="s">
        <v>27</v>
      </c>
      <c r="C719" s="7" t="s">
        <v>350</v>
      </c>
      <c r="D719" s="7" t="s">
        <v>302</v>
      </c>
      <c r="E719" s="8">
        <v>55.9666</v>
      </c>
      <c r="F719" s="8">
        <v>-133.61249999999998</v>
      </c>
      <c r="G719" s="9" t="s">
        <v>30</v>
      </c>
      <c r="H719" s="3" t="s">
        <v>31</v>
      </c>
      <c r="I719" s="3" t="s">
        <v>31</v>
      </c>
      <c r="J719" s="3" t="s">
        <v>31</v>
      </c>
      <c r="K719" s="7" t="s">
        <v>44</v>
      </c>
      <c r="L719" s="9">
        <v>29</v>
      </c>
      <c r="M719" s="9">
        <v>88</v>
      </c>
      <c r="N719" s="9">
        <f t="shared" si="63"/>
        <v>59</v>
      </c>
      <c r="O719" s="9"/>
      <c r="P719" s="9"/>
      <c r="Q719" s="25"/>
      <c r="R719" s="11">
        <v>0</v>
      </c>
      <c r="S719" s="1">
        <v>1.91</v>
      </c>
      <c r="T719" s="1">
        <f t="shared" si="64"/>
        <v>1.91</v>
      </c>
      <c r="U719" s="12">
        <v>17</v>
      </c>
      <c r="V719" s="13">
        <v>2.3075450000000002</v>
      </c>
      <c r="W719" s="14">
        <f t="shared" si="66"/>
        <v>21583.091422150002</v>
      </c>
      <c r="X719" s="25"/>
      <c r="Y719" s="14">
        <f t="shared" si="65"/>
        <v>21583.091422150002</v>
      </c>
      <c r="Z719" s="3"/>
      <c r="AA719" s="3"/>
      <c r="AB719" s="5"/>
      <c r="AC719" s="1"/>
      <c r="AD719" s="28"/>
      <c r="AE719" s="28"/>
      <c r="AF719" s="3"/>
      <c r="AG719" s="7"/>
      <c r="AH719" s="7"/>
      <c r="AI719" s="3" t="s">
        <v>75</v>
      </c>
      <c r="AJ719" s="7" t="s">
        <v>44</v>
      </c>
      <c r="AK719" s="3"/>
      <c r="AL719" cm="1">
        <f t="array" ref="AL719">IF(getColor(V719) = 16777215, 0, 1)</f>
        <v>0</v>
      </c>
    </row>
    <row r="720" spans="1:38">
      <c r="A720" s="1">
        <v>719</v>
      </c>
      <c r="B720" s="3" t="s">
        <v>27</v>
      </c>
      <c r="C720" s="7" t="s">
        <v>353</v>
      </c>
      <c r="D720" s="7" t="s">
        <v>302</v>
      </c>
      <c r="E720" s="8">
        <v>55.9666</v>
      </c>
      <c r="F720" s="8">
        <v>-133.61249999999998</v>
      </c>
      <c r="G720" s="9" t="s">
        <v>30</v>
      </c>
      <c r="H720" s="3" t="s">
        <v>31</v>
      </c>
      <c r="I720" s="3" t="s">
        <v>31</v>
      </c>
      <c r="J720" s="3" t="s">
        <v>31</v>
      </c>
      <c r="K720" s="7" t="s">
        <v>51</v>
      </c>
      <c r="L720" s="9">
        <v>4</v>
      </c>
      <c r="M720" s="9">
        <v>0</v>
      </c>
      <c r="N720" s="9">
        <f t="shared" si="63"/>
        <v>4</v>
      </c>
      <c r="O720" s="29">
        <f>M724</f>
        <v>88</v>
      </c>
      <c r="P720" s="29">
        <f>L720</f>
        <v>4</v>
      </c>
      <c r="Q720" s="29">
        <f>P720+O720</f>
        <v>92</v>
      </c>
      <c r="R720" s="11">
        <v>0</v>
      </c>
      <c r="S720" s="1">
        <v>0.12</v>
      </c>
      <c r="T720" s="1">
        <f t="shared" si="64"/>
        <v>0.12</v>
      </c>
      <c r="U720" s="12">
        <v>0</v>
      </c>
      <c r="V720" s="13">
        <v>44.915060000000004</v>
      </c>
      <c r="W720" s="14">
        <f t="shared" si="66"/>
        <v>2155.9228800000001</v>
      </c>
      <c r="X720" s="14">
        <f>SUM(W720:W724)</f>
        <v>53361.81707959999</v>
      </c>
      <c r="Y720" s="14">
        <f t="shared" si="65"/>
        <v>2155.9228800000001</v>
      </c>
      <c r="Z720" s="15">
        <f>SUM(Y720:Y724)/10^6*10^4</f>
        <v>533.61817079599996</v>
      </c>
      <c r="AA720" s="16">
        <v>43.282608295843744</v>
      </c>
      <c r="AB720" s="5"/>
      <c r="AC720" s="1"/>
      <c r="AD720" s="28"/>
      <c r="AE720" s="28"/>
      <c r="AF720" s="3"/>
      <c r="AG720" s="7"/>
      <c r="AH720" s="7"/>
      <c r="AI720" s="3" t="s">
        <v>75</v>
      </c>
      <c r="AJ720" s="7" t="s">
        <v>67</v>
      </c>
      <c r="AK720" s="3"/>
      <c r="AL720" cm="1">
        <f t="array" ref="AL720">IF(getColor(V720) = 16777215, 0, 1)</f>
        <v>0</v>
      </c>
    </row>
    <row r="721" spans="1:38">
      <c r="A721" s="1">
        <v>720</v>
      </c>
      <c r="B721" s="3" t="s">
        <v>27</v>
      </c>
      <c r="C721" s="7" t="s">
        <v>353</v>
      </c>
      <c r="D721" s="7" t="s">
        <v>302</v>
      </c>
      <c r="E721" s="8">
        <v>55.9666</v>
      </c>
      <c r="F721" s="8">
        <v>-133.61249999999998</v>
      </c>
      <c r="G721" s="9" t="s">
        <v>30</v>
      </c>
      <c r="H721" s="3" t="s">
        <v>31</v>
      </c>
      <c r="I721" s="3" t="s">
        <v>31</v>
      </c>
      <c r="J721" s="3" t="s">
        <v>31</v>
      </c>
      <c r="K721" s="7" t="s">
        <v>354</v>
      </c>
      <c r="L721" s="9">
        <v>0</v>
      </c>
      <c r="M721" s="9">
        <v>14</v>
      </c>
      <c r="N721" s="9">
        <f t="shared" si="63"/>
        <v>14</v>
      </c>
      <c r="O721" s="9"/>
      <c r="P721" s="9"/>
      <c r="Q721" s="25"/>
      <c r="R721" s="11">
        <v>0</v>
      </c>
      <c r="S721" s="1">
        <v>1.46</v>
      </c>
      <c r="T721" s="1">
        <f t="shared" si="64"/>
        <v>1.46</v>
      </c>
      <c r="U721" s="12">
        <v>17</v>
      </c>
      <c r="V721" s="13">
        <v>9.1819050000000004</v>
      </c>
      <c r="W721" s="14">
        <f t="shared" si="66"/>
        <v>15577.285470599998</v>
      </c>
      <c r="X721" s="25"/>
      <c r="Y721" s="14">
        <f t="shared" si="65"/>
        <v>15577.285470599998</v>
      </c>
      <c r="Z721" s="3"/>
      <c r="AA721" s="3"/>
      <c r="AB721" s="5"/>
      <c r="AC721" s="5"/>
      <c r="AD721" s="28"/>
      <c r="AE721" s="28"/>
      <c r="AF721" s="3"/>
      <c r="AG721" s="7"/>
      <c r="AH721" s="7"/>
      <c r="AI721" s="3" t="s">
        <v>75</v>
      </c>
      <c r="AJ721" s="7" t="s">
        <v>355</v>
      </c>
      <c r="AK721" s="3"/>
      <c r="AL721" cm="1">
        <f t="array" ref="AL721">IF(getColor(V721) = 16777215, 0, 1)</f>
        <v>0</v>
      </c>
    </row>
    <row r="722" spans="1:38">
      <c r="A722" s="1">
        <v>721</v>
      </c>
      <c r="B722" s="3" t="s">
        <v>27</v>
      </c>
      <c r="C722" s="7" t="s">
        <v>353</v>
      </c>
      <c r="D722" s="7" t="s">
        <v>302</v>
      </c>
      <c r="E722" s="8">
        <v>55.9666</v>
      </c>
      <c r="F722" s="8">
        <v>-133.61249999999998</v>
      </c>
      <c r="G722" s="9" t="s">
        <v>30</v>
      </c>
      <c r="H722" s="3" t="s">
        <v>31</v>
      </c>
      <c r="I722" s="3" t="s">
        <v>31</v>
      </c>
      <c r="J722" s="3" t="s">
        <v>31</v>
      </c>
      <c r="K722" s="7" t="s">
        <v>356</v>
      </c>
      <c r="L722" s="9">
        <v>14</v>
      </c>
      <c r="M722" s="9">
        <v>19</v>
      </c>
      <c r="N722" s="9">
        <f t="shared" si="63"/>
        <v>5</v>
      </c>
      <c r="O722" s="9"/>
      <c r="P722" s="9"/>
      <c r="Q722" s="25"/>
      <c r="R722" s="11">
        <v>0</v>
      </c>
      <c r="S722" s="1">
        <v>1.31</v>
      </c>
      <c r="T722" s="1">
        <f t="shared" si="64"/>
        <v>1.31</v>
      </c>
      <c r="U722" s="12">
        <v>6</v>
      </c>
      <c r="V722" s="13">
        <v>6.3047150000000007</v>
      </c>
      <c r="W722" s="14">
        <f t="shared" si="66"/>
        <v>3881.8130255000005</v>
      </c>
      <c r="X722" s="25"/>
      <c r="Y722" s="14">
        <f t="shared" si="65"/>
        <v>3881.8130255000005</v>
      </c>
      <c r="Z722" s="3"/>
      <c r="AA722" s="3"/>
      <c r="AB722" s="5"/>
      <c r="AC722" s="1"/>
      <c r="AD722" s="28"/>
      <c r="AE722" s="28"/>
      <c r="AF722" s="3"/>
      <c r="AG722" s="7"/>
      <c r="AH722" s="7"/>
      <c r="AI722" s="3" t="s">
        <v>75</v>
      </c>
      <c r="AJ722" s="7" t="s">
        <v>356</v>
      </c>
      <c r="AK722" s="3"/>
      <c r="AL722" cm="1">
        <f t="array" ref="AL722">IF(getColor(V722) = 16777215, 0, 1)</f>
        <v>0</v>
      </c>
    </row>
    <row r="723" spans="1:38">
      <c r="A723" s="1">
        <v>722</v>
      </c>
      <c r="B723" s="3" t="s">
        <v>27</v>
      </c>
      <c r="C723" s="7" t="s">
        <v>353</v>
      </c>
      <c r="D723" s="7" t="s">
        <v>302</v>
      </c>
      <c r="E723" s="8">
        <v>55.9666</v>
      </c>
      <c r="F723" s="8">
        <v>-133.61249999999998</v>
      </c>
      <c r="G723" s="9" t="s">
        <v>30</v>
      </c>
      <c r="H723" s="3" t="s">
        <v>31</v>
      </c>
      <c r="I723" s="3" t="s">
        <v>31</v>
      </c>
      <c r="J723" s="3" t="s">
        <v>31</v>
      </c>
      <c r="K723" s="7" t="s">
        <v>41</v>
      </c>
      <c r="L723" s="9">
        <v>19</v>
      </c>
      <c r="M723" s="9">
        <v>34</v>
      </c>
      <c r="N723" s="9">
        <f t="shared" si="63"/>
        <v>15</v>
      </c>
      <c r="O723" s="9"/>
      <c r="P723" s="9"/>
      <c r="Q723" s="25"/>
      <c r="R723" s="11">
        <v>0</v>
      </c>
      <c r="S723" s="1">
        <v>1.46</v>
      </c>
      <c r="T723" s="1">
        <f t="shared" si="64"/>
        <v>1.46</v>
      </c>
      <c r="U723" s="12">
        <v>17</v>
      </c>
      <c r="V723" s="13">
        <v>5.8702399999999999</v>
      </c>
      <c r="W723" s="14">
        <f t="shared" si="66"/>
        <v>10670.335247999999</v>
      </c>
      <c r="X723" s="25"/>
      <c r="Y723" s="14">
        <f t="shared" si="65"/>
        <v>10670.335247999999</v>
      </c>
      <c r="Z723" s="3"/>
      <c r="AA723" s="3"/>
      <c r="AB723" s="5"/>
      <c r="AC723" s="1"/>
      <c r="AD723" s="28"/>
      <c r="AE723" s="28"/>
      <c r="AF723" s="3"/>
      <c r="AG723" s="7"/>
      <c r="AH723" s="7"/>
      <c r="AI723" s="3" t="s">
        <v>75</v>
      </c>
      <c r="AJ723" s="7" t="s">
        <v>61</v>
      </c>
      <c r="AK723" s="3"/>
      <c r="AL723" cm="1">
        <f t="array" ref="AL723">IF(getColor(V723) = 16777215, 0, 1)</f>
        <v>0</v>
      </c>
    </row>
    <row r="724" spans="1:38">
      <c r="A724" s="1">
        <v>723</v>
      </c>
      <c r="B724" s="3" t="s">
        <v>27</v>
      </c>
      <c r="C724" s="7" t="s">
        <v>353</v>
      </c>
      <c r="D724" s="7" t="s">
        <v>302</v>
      </c>
      <c r="E724" s="8">
        <v>55.9666</v>
      </c>
      <c r="F724" s="8">
        <v>-133.61249999999998</v>
      </c>
      <c r="G724" s="9" t="s">
        <v>30</v>
      </c>
      <c r="H724" s="3" t="s">
        <v>31</v>
      </c>
      <c r="I724" s="3" t="s">
        <v>31</v>
      </c>
      <c r="J724" s="3" t="s">
        <v>31</v>
      </c>
      <c r="K724" s="7" t="s">
        <v>349</v>
      </c>
      <c r="L724" s="9">
        <v>34</v>
      </c>
      <c r="M724" s="9">
        <v>88</v>
      </c>
      <c r="N724" s="9">
        <f t="shared" si="63"/>
        <v>54</v>
      </c>
      <c r="O724" s="9"/>
      <c r="P724" s="9"/>
      <c r="Q724" s="25"/>
      <c r="R724" s="11">
        <v>0</v>
      </c>
      <c r="S724" s="1">
        <v>1.91</v>
      </c>
      <c r="T724" s="1">
        <f t="shared" si="64"/>
        <v>1.91</v>
      </c>
      <c r="U724" s="12">
        <v>17</v>
      </c>
      <c r="V724" s="13">
        <v>2.4620249999999997</v>
      </c>
      <c r="W724" s="14">
        <f t="shared" si="66"/>
        <v>21076.460455499993</v>
      </c>
      <c r="X724" s="25"/>
      <c r="Y724" s="14">
        <f t="shared" si="65"/>
        <v>21076.460455499993</v>
      </c>
      <c r="Z724" s="3"/>
      <c r="AA724" s="3"/>
      <c r="AB724" s="5"/>
      <c r="AC724" s="1"/>
      <c r="AD724" s="28"/>
      <c r="AE724" s="28"/>
      <c r="AF724" s="3"/>
      <c r="AG724" s="7"/>
      <c r="AH724" s="7"/>
      <c r="AI724" s="3" t="s">
        <v>75</v>
      </c>
      <c r="AJ724" s="7" t="s">
        <v>349</v>
      </c>
      <c r="AK724" s="3"/>
      <c r="AL724" cm="1">
        <f t="array" ref="AL724">IF(getColor(V724) = 16777215, 0, 1)</f>
        <v>0</v>
      </c>
    </row>
    <row r="725" spans="1:38">
      <c r="A725" s="1">
        <v>724</v>
      </c>
      <c r="B725" s="3" t="s">
        <v>27</v>
      </c>
      <c r="C725" s="7" t="s">
        <v>357</v>
      </c>
      <c r="D725" s="7" t="s">
        <v>166</v>
      </c>
      <c r="E725" s="8">
        <v>55.995800000000003</v>
      </c>
      <c r="F725" s="8">
        <v>-133.46249999999998</v>
      </c>
      <c r="G725" s="9" t="s">
        <v>30</v>
      </c>
      <c r="H725" s="3" t="s">
        <v>31</v>
      </c>
      <c r="I725" s="3" t="s">
        <v>31</v>
      </c>
      <c r="J725" s="3" t="s">
        <v>31</v>
      </c>
      <c r="K725" s="7" t="s">
        <v>51</v>
      </c>
      <c r="L725" s="9">
        <v>11</v>
      </c>
      <c r="M725" s="9">
        <v>5</v>
      </c>
      <c r="N725" s="9">
        <f t="shared" si="63"/>
        <v>6</v>
      </c>
      <c r="O725" s="29">
        <f>M728</f>
        <v>22</v>
      </c>
      <c r="P725" s="29">
        <f>L725</f>
        <v>11</v>
      </c>
      <c r="Q725" s="29">
        <f>P725+O725</f>
        <v>33</v>
      </c>
      <c r="R725" s="11">
        <v>0</v>
      </c>
      <c r="S725" s="1">
        <v>0.12</v>
      </c>
      <c r="T725" s="1">
        <f t="shared" si="64"/>
        <v>0.12</v>
      </c>
      <c r="U725" s="12">
        <v>0</v>
      </c>
      <c r="V725" s="13">
        <v>49.597735</v>
      </c>
      <c r="W725" s="14">
        <f t="shared" si="66"/>
        <v>3571.0369199999996</v>
      </c>
      <c r="X725" s="14">
        <f>SUM(W725:W728)</f>
        <v>38419.674197999993</v>
      </c>
      <c r="Y725" s="14">
        <f t="shared" si="65"/>
        <v>3571.0369199999996</v>
      </c>
      <c r="Z725" s="15">
        <f>SUM(Y725:Y728)/10^6*10^4</f>
        <v>384.1967419799999</v>
      </c>
      <c r="AA725" s="16">
        <v>59.414496251973176</v>
      </c>
      <c r="AB725" s="5"/>
      <c r="AC725" s="1"/>
      <c r="AD725" s="28"/>
      <c r="AE725" s="28"/>
      <c r="AF725" s="3"/>
      <c r="AG725" s="7"/>
      <c r="AH725" s="7"/>
      <c r="AI725" s="3" t="s">
        <v>107</v>
      </c>
      <c r="AJ725" s="7" t="s">
        <v>67</v>
      </c>
      <c r="AK725" s="3"/>
      <c r="AL725" cm="1">
        <f t="array" ref="AL725">IF(getColor(V725) = 16777215, 0, 1)</f>
        <v>0</v>
      </c>
    </row>
    <row r="726" spans="1:38">
      <c r="A726" s="1">
        <v>725</v>
      </c>
      <c r="B726" s="3" t="s">
        <v>27</v>
      </c>
      <c r="C726" s="7" t="s">
        <v>357</v>
      </c>
      <c r="D726" s="7" t="s">
        <v>166</v>
      </c>
      <c r="E726" s="8">
        <v>55.995800000000003</v>
      </c>
      <c r="F726" s="8">
        <v>-133.46249999999998</v>
      </c>
      <c r="G726" s="9" t="s">
        <v>30</v>
      </c>
      <c r="H726" s="3" t="s">
        <v>31</v>
      </c>
      <c r="I726" s="3" t="s">
        <v>31</v>
      </c>
      <c r="J726" s="3" t="s">
        <v>31</v>
      </c>
      <c r="K726" s="7" t="s">
        <v>52</v>
      </c>
      <c r="L726" s="9">
        <v>5</v>
      </c>
      <c r="M726" s="9">
        <v>0</v>
      </c>
      <c r="N726" s="9">
        <f t="shared" si="63"/>
        <v>5</v>
      </c>
      <c r="O726" s="9"/>
      <c r="P726" s="9"/>
      <c r="Q726" s="25"/>
      <c r="R726" s="11">
        <v>0</v>
      </c>
      <c r="S726" s="1">
        <v>0.15</v>
      </c>
      <c r="T726" s="1">
        <f t="shared" si="64"/>
        <v>0.15</v>
      </c>
      <c r="U726" s="12">
        <v>0</v>
      </c>
      <c r="V726" s="13">
        <v>47.608805000000004</v>
      </c>
      <c r="W726" s="14">
        <f t="shared" si="66"/>
        <v>3570.6603750000008</v>
      </c>
      <c r="X726" s="25"/>
      <c r="Y726" s="14">
        <f t="shared" si="65"/>
        <v>3570.6603750000008</v>
      </c>
      <c r="Z726" s="3"/>
      <c r="AA726" s="3"/>
      <c r="AB726" s="5"/>
      <c r="AC726" s="5"/>
      <c r="AD726" s="28"/>
      <c r="AE726" s="28"/>
      <c r="AF726" s="3"/>
      <c r="AG726" s="7"/>
      <c r="AH726" s="7"/>
      <c r="AI726" s="3" t="s">
        <v>107</v>
      </c>
      <c r="AJ726" s="7" t="s">
        <v>76</v>
      </c>
      <c r="AK726" s="3"/>
      <c r="AL726" cm="1">
        <f t="array" ref="AL726">IF(getColor(V726) = 16777215, 0, 1)</f>
        <v>0</v>
      </c>
    </row>
    <row r="727" spans="1:38">
      <c r="A727" s="1">
        <v>726</v>
      </c>
      <c r="B727" s="3" t="s">
        <v>27</v>
      </c>
      <c r="C727" s="7" t="s">
        <v>357</v>
      </c>
      <c r="D727" s="7" t="s">
        <v>166</v>
      </c>
      <c r="E727" s="8">
        <v>55.995800000000003</v>
      </c>
      <c r="F727" s="8">
        <v>-133.46249999999998</v>
      </c>
      <c r="G727" s="9" t="s">
        <v>30</v>
      </c>
      <c r="H727" s="3" t="s">
        <v>31</v>
      </c>
      <c r="I727" s="3" t="s">
        <v>31</v>
      </c>
      <c r="J727" s="3" t="s">
        <v>31</v>
      </c>
      <c r="K727" s="7" t="s">
        <v>47</v>
      </c>
      <c r="L727" s="9">
        <v>0</v>
      </c>
      <c r="M727" s="9">
        <v>4</v>
      </c>
      <c r="N727" s="9">
        <f t="shared" si="63"/>
        <v>4</v>
      </c>
      <c r="O727" s="9"/>
      <c r="P727" s="9"/>
      <c r="Q727" s="25"/>
      <c r="R727" s="11">
        <v>0</v>
      </c>
      <c r="S727" s="1">
        <v>0.93</v>
      </c>
      <c r="T727" s="1">
        <f t="shared" si="64"/>
        <v>0.93</v>
      </c>
      <c r="U727" s="12">
        <v>3</v>
      </c>
      <c r="V727" s="13">
        <v>9.9349949999999989</v>
      </c>
      <c r="W727" s="14">
        <f t="shared" si="66"/>
        <v>3584.9435958000004</v>
      </c>
      <c r="X727" s="25"/>
      <c r="Y727" s="14">
        <f t="shared" si="65"/>
        <v>3584.9435958000004</v>
      </c>
      <c r="Z727" s="3"/>
      <c r="AA727" s="3"/>
      <c r="AB727" s="5"/>
      <c r="AC727" s="1"/>
      <c r="AD727" s="28"/>
      <c r="AE727" s="28"/>
      <c r="AF727" s="3"/>
      <c r="AG727" s="7"/>
      <c r="AH727" s="7"/>
      <c r="AI727" s="3" t="s">
        <v>107</v>
      </c>
      <c r="AJ727" s="7" t="s">
        <v>47</v>
      </c>
      <c r="AK727" s="3"/>
      <c r="AL727" cm="1">
        <f t="array" ref="AL727">IF(getColor(V727) = 16777215, 0, 1)</f>
        <v>0</v>
      </c>
    </row>
    <row r="728" spans="1:38">
      <c r="A728" s="1">
        <v>727</v>
      </c>
      <c r="B728" s="3" t="s">
        <v>27</v>
      </c>
      <c r="C728" s="7" t="s">
        <v>357</v>
      </c>
      <c r="D728" s="7" t="s">
        <v>166</v>
      </c>
      <c r="E728" s="8">
        <v>55.995800000000003</v>
      </c>
      <c r="F728" s="8">
        <v>-133.46249999999998</v>
      </c>
      <c r="G728" s="9" t="s">
        <v>30</v>
      </c>
      <c r="H728" s="3" t="s">
        <v>31</v>
      </c>
      <c r="I728" s="3" t="s">
        <v>31</v>
      </c>
      <c r="J728" s="3" t="s">
        <v>31</v>
      </c>
      <c r="K728" s="7" t="s">
        <v>68</v>
      </c>
      <c r="L728" s="9">
        <v>4</v>
      </c>
      <c r="M728" s="9">
        <v>22</v>
      </c>
      <c r="N728" s="9">
        <f t="shared" si="63"/>
        <v>18</v>
      </c>
      <c r="O728" s="9"/>
      <c r="P728" s="9"/>
      <c r="Q728" s="25"/>
      <c r="R728" s="11">
        <v>0</v>
      </c>
      <c r="S728" s="1">
        <v>0.86</v>
      </c>
      <c r="T728" s="1">
        <f t="shared" si="64"/>
        <v>0.86</v>
      </c>
      <c r="U728" s="12">
        <v>8</v>
      </c>
      <c r="V728" s="13">
        <v>19.445170000000001</v>
      </c>
      <c r="W728" s="14">
        <f t="shared" si="66"/>
        <v>27693.033307199996</v>
      </c>
      <c r="X728" s="25"/>
      <c r="Y728" s="14">
        <f t="shared" si="65"/>
        <v>27693.033307199996</v>
      </c>
      <c r="Z728" s="3"/>
      <c r="AA728" s="3"/>
      <c r="AB728" s="5"/>
      <c r="AC728" s="1"/>
      <c r="AD728" s="28"/>
      <c r="AE728" s="28"/>
      <c r="AF728" s="3"/>
      <c r="AG728" s="7"/>
      <c r="AH728" s="7"/>
      <c r="AI728" s="3" t="s">
        <v>107</v>
      </c>
      <c r="AJ728" s="7" t="s">
        <v>68</v>
      </c>
      <c r="AK728" s="3"/>
      <c r="AL728" cm="1">
        <f t="array" ref="AL728">IF(getColor(V728) = 16777215, 0, 1)</f>
        <v>0</v>
      </c>
    </row>
    <row r="729" spans="1:38">
      <c r="A729" s="1">
        <v>728</v>
      </c>
      <c r="B729" s="3" t="s">
        <v>27</v>
      </c>
      <c r="C729" s="7" t="s">
        <v>358</v>
      </c>
      <c r="D729" s="7" t="s">
        <v>359</v>
      </c>
      <c r="E729" s="8">
        <v>54.874933333333331</v>
      </c>
      <c r="F729" s="8">
        <v>-132.96388888888887</v>
      </c>
      <c r="G729" s="9" t="s">
        <v>30</v>
      </c>
      <c r="H729" s="3" t="s">
        <v>31</v>
      </c>
      <c r="I729" s="3" t="s">
        <v>31</v>
      </c>
      <c r="J729" s="3" t="s">
        <v>31</v>
      </c>
      <c r="K729" s="7" t="s">
        <v>51</v>
      </c>
      <c r="L729" s="9">
        <v>10</v>
      </c>
      <c r="M729" s="9">
        <v>0</v>
      </c>
      <c r="N729" s="9">
        <f t="shared" si="63"/>
        <v>10</v>
      </c>
      <c r="O729" s="29">
        <f>M731</f>
        <v>102</v>
      </c>
      <c r="P729" s="29">
        <f>L729</f>
        <v>10</v>
      </c>
      <c r="Q729" s="29">
        <f>P729+O729</f>
        <v>112</v>
      </c>
      <c r="R729" s="11">
        <v>0</v>
      </c>
      <c r="S729" s="1">
        <v>0.13</v>
      </c>
      <c r="T729" s="1">
        <f t="shared" si="64"/>
        <v>0.13</v>
      </c>
      <c r="U729" s="12">
        <v>0</v>
      </c>
      <c r="V729" s="13">
        <v>16.111646999999998</v>
      </c>
      <c r="W729" s="14">
        <f t="shared" si="66"/>
        <v>2094.5141099999996</v>
      </c>
      <c r="X729" s="14">
        <f>SUM(W729:W731)</f>
        <v>16044.242959079998</v>
      </c>
      <c r="Y729" s="14">
        <f t="shared" si="65"/>
        <v>2094.5141099999996</v>
      </c>
      <c r="Z729" s="15">
        <f>SUM(Y729:Y731)/10^6*10^4</f>
        <v>158.77885479839998</v>
      </c>
      <c r="AA729" s="16">
        <v>24.784289695607274</v>
      </c>
      <c r="AB729" s="5"/>
      <c r="AC729" s="1"/>
      <c r="AD729" s="28"/>
      <c r="AE729" s="28"/>
      <c r="AF729" s="3"/>
      <c r="AG729" s="7"/>
      <c r="AH729" s="7"/>
      <c r="AI729" s="3" t="s">
        <v>118</v>
      </c>
      <c r="AJ729" s="7" t="s">
        <v>67</v>
      </c>
      <c r="AK729" s="3"/>
      <c r="AL729" cm="1">
        <f t="array" ref="AL729">IF(getColor(V729) = 16777215, 0, 1)</f>
        <v>0</v>
      </c>
    </row>
    <row r="730" spans="1:38">
      <c r="A730" s="1">
        <v>729</v>
      </c>
      <c r="B730" s="3" t="s">
        <v>27</v>
      </c>
      <c r="C730" s="7" t="s">
        <v>358</v>
      </c>
      <c r="D730" s="7" t="s">
        <v>359</v>
      </c>
      <c r="E730" s="8">
        <v>54.874933333333331</v>
      </c>
      <c r="F730" s="8">
        <v>-132.96388888888887</v>
      </c>
      <c r="G730" s="9" t="s">
        <v>30</v>
      </c>
      <c r="H730" s="3" t="s">
        <v>31</v>
      </c>
      <c r="I730" s="3" t="s">
        <v>31</v>
      </c>
      <c r="J730" s="3" t="s">
        <v>31</v>
      </c>
      <c r="K730" s="7" t="s">
        <v>44</v>
      </c>
      <c r="L730" s="9">
        <v>0</v>
      </c>
      <c r="M730" s="9">
        <v>36</v>
      </c>
      <c r="N730" s="9">
        <f t="shared" si="63"/>
        <v>36</v>
      </c>
      <c r="O730" s="9"/>
      <c r="P730" s="9"/>
      <c r="Q730" s="25"/>
      <c r="R730" s="11">
        <v>0</v>
      </c>
      <c r="S730" s="1">
        <v>1.38</v>
      </c>
      <c r="T730" s="1">
        <f t="shared" si="64"/>
        <v>1.38</v>
      </c>
      <c r="U730" s="12">
        <v>7</v>
      </c>
      <c r="V730" s="13">
        <v>1.8310589999999998</v>
      </c>
      <c r="W730" s="14">
        <f t="shared" si="66"/>
        <v>8459.9320341599996</v>
      </c>
      <c r="X730" s="25"/>
      <c r="Y730" s="14">
        <f t="shared" si="65"/>
        <v>8459.9320341599996</v>
      </c>
      <c r="Z730" s="3"/>
      <c r="AA730" s="3"/>
      <c r="AB730" s="5"/>
      <c r="AC730" s="5"/>
      <c r="AD730" s="28"/>
      <c r="AE730" s="28"/>
      <c r="AF730" s="3"/>
      <c r="AG730" s="7"/>
      <c r="AH730" s="7"/>
      <c r="AI730" s="3" t="s">
        <v>118</v>
      </c>
      <c r="AJ730" s="7" t="s">
        <v>44</v>
      </c>
      <c r="AK730" s="3"/>
      <c r="AL730" cm="1">
        <f t="array" ref="AL730">IF(getColor(V730) = 16777215, 0, 1)</f>
        <v>0</v>
      </c>
    </row>
    <row r="731" spans="1:38">
      <c r="A731" s="1">
        <v>730</v>
      </c>
      <c r="B731" s="3" t="s">
        <v>27</v>
      </c>
      <c r="C731" s="7" t="s">
        <v>358</v>
      </c>
      <c r="D731" s="7" t="s">
        <v>359</v>
      </c>
      <c r="E731" s="8">
        <v>54.874933333333331</v>
      </c>
      <c r="F731" s="8">
        <v>-132.96388888888887</v>
      </c>
      <c r="G731" s="9" t="s">
        <v>30</v>
      </c>
      <c r="H731" s="3" t="s">
        <v>31</v>
      </c>
      <c r="I731" s="3" t="s">
        <v>31</v>
      </c>
      <c r="J731" s="3" t="s">
        <v>31</v>
      </c>
      <c r="K731" s="7" t="s">
        <v>137</v>
      </c>
      <c r="L731" s="9">
        <v>36</v>
      </c>
      <c r="M731" s="9">
        <v>102</v>
      </c>
      <c r="N731" s="9">
        <f t="shared" si="63"/>
        <v>66</v>
      </c>
      <c r="O731" s="9"/>
      <c r="P731" s="9"/>
      <c r="Q731" s="25"/>
      <c r="R731" s="11">
        <v>0</v>
      </c>
      <c r="S731" s="1">
        <v>1.38</v>
      </c>
      <c r="T731" s="1">
        <f t="shared" si="64"/>
        <v>1.38</v>
      </c>
      <c r="U731" s="12">
        <v>11</v>
      </c>
      <c r="V731" s="13">
        <v>0.67724099999999998</v>
      </c>
      <c r="W731" s="14">
        <f t="shared" si="66"/>
        <v>5489.7968149199987</v>
      </c>
      <c r="X731" s="25"/>
      <c r="Y731" s="14">
        <f>IF(L731&gt;-100,W731-W731*(ABS(M731)-100)/(ABS(M731)-ABS(L731)),0)</f>
        <v>5323.4393356799992</v>
      </c>
      <c r="Z731" s="3"/>
      <c r="AA731" s="3"/>
      <c r="AB731" s="5"/>
      <c r="AC731" s="1"/>
      <c r="AD731" s="28"/>
      <c r="AE731" s="28"/>
      <c r="AF731" s="3"/>
      <c r="AG731" s="7"/>
      <c r="AH731" s="7"/>
      <c r="AI731" s="3" t="s">
        <v>118</v>
      </c>
      <c r="AJ731" s="7" t="s">
        <v>137</v>
      </c>
      <c r="AK731" s="3"/>
      <c r="AL731" cm="1">
        <f t="array" ref="AL731">IF(getColor(V731) = 16777215, 0, 1)</f>
        <v>0</v>
      </c>
    </row>
    <row r="732" spans="1:38">
      <c r="A732" s="1">
        <v>731</v>
      </c>
      <c r="B732" s="3" t="s">
        <v>27</v>
      </c>
      <c r="C732" s="7" t="s">
        <v>360</v>
      </c>
      <c r="D732" s="7" t="s">
        <v>217</v>
      </c>
      <c r="E732" s="8">
        <v>54.874933333333331</v>
      </c>
      <c r="F732" s="8">
        <v>-132.96388888888887</v>
      </c>
      <c r="G732" s="9" t="s">
        <v>30</v>
      </c>
      <c r="H732" s="3" t="s">
        <v>31</v>
      </c>
      <c r="I732" s="3" t="s">
        <v>31</v>
      </c>
      <c r="J732" s="3" t="s">
        <v>31</v>
      </c>
      <c r="K732" s="7" t="s">
        <v>53</v>
      </c>
      <c r="L732" s="9">
        <v>8</v>
      </c>
      <c r="M732" s="9">
        <v>0</v>
      </c>
      <c r="N732" s="9">
        <f t="shared" si="63"/>
        <v>8</v>
      </c>
      <c r="O732" s="29">
        <f>M735</f>
        <v>104</v>
      </c>
      <c r="P732" s="29">
        <f>L732</f>
        <v>8</v>
      </c>
      <c r="Q732" s="29">
        <f>P732+O732</f>
        <v>112</v>
      </c>
      <c r="R732" s="11">
        <v>0</v>
      </c>
      <c r="S732" s="1">
        <v>0.11</v>
      </c>
      <c r="T732" s="1">
        <f t="shared" si="64"/>
        <v>0.11</v>
      </c>
      <c r="U732" s="12">
        <v>0</v>
      </c>
      <c r="V732" s="13">
        <v>28.742934999999999</v>
      </c>
      <c r="W732" s="14">
        <f t="shared" si="66"/>
        <v>2529.3782799999999</v>
      </c>
      <c r="X732" s="14">
        <f>SUM(W732:W735)</f>
        <v>14955.6573713</v>
      </c>
      <c r="Y732" s="14">
        <f>T732*V732/100*N732*100*100*((100-U732)/100)</f>
        <v>2529.3782799999999</v>
      </c>
      <c r="Z732" s="15">
        <f>SUM(Y732:Y735)/10^6*10^4</f>
        <v>146.93130197300002</v>
      </c>
      <c r="AA732" s="16">
        <v>30.477500818464204</v>
      </c>
      <c r="AB732" s="5"/>
      <c r="AC732" s="1"/>
      <c r="AD732" s="28"/>
      <c r="AE732" s="28"/>
      <c r="AF732" s="3"/>
      <c r="AG732" s="7"/>
      <c r="AH732" s="7"/>
      <c r="AI732" s="3" t="s">
        <v>59</v>
      </c>
      <c r="AJ732" s="7" t="s">
        <v>53</v>
      </c>
      <c r="AK732" s="3"/>
      <c r="AL732" cm="1">
        <f t="array" ref="AL732">IF(getColor(V732) = 16777215, 0, 1)</f>
        <v>0</v>
      </c>
    </row>
    <row r="733" spans="1:38">
      <c r="A733" s="1">
        <v>732</v>
      </c>
      <c r="B733" s="3" t="s">
        <v>27</v>
      </c>
      <c r="C733" s="7" t="s">
        <v>360</v>
      </c>
      <c r="D733" s="7" t="s">
        <v>217</v>
      </c>
      <c r="E733" s="8">
        <v>54.874933333333331</v>
      </c>
      <c r="F733" s="8">
        <v>-132.96388888888887</v>
      </c>
      <c r="G733" s="9" t="s">
        <v>30</v>
      </c>
      <c r="H733" s="3" t="s">
        <v>31</v>
      </c>
      <c r="I733" s="3" t="s">
        <v>31</v>
      </c>
      <c r="J733" s="3" t="s">
        <v>31</v>
      </c>
      <c r="K733" s="7" t="s">
        <v>101</v>
      </c>
      <c r="L733" s="9">
        <v>0</v>
      </c>
      <c r="M733" s="9">
        <v>16</v>
      </c>
      <c r="N733" s="9">
        <f t="shared" si="63"/>
        <v>16</v>
      </c>
      <c r="O733" s="9"/>
      <c r="P733" s="9"/>
      <c r="Q733" s="25"/>
      <c r="R733" s="11">
        <v>0</v>
      </c>
      <c r="S733" s="1">
        <v>0.86</v>
      </c>
      <c r="T733" s="1">
        <f t="shared" si="64"/>
        <v>0.86</v>
      </c>
      <c r="U733" s="12">
        <v>8</v>
      </c>
      <c r="V733" s="13">
        <v>3.9392400000000003</v>
      </c>
      <c r="W733" s="14">
        <f t="shared" si="66"/>
        <v>4986.7627008000009</v>
      </c>
      <c r="X733" s="25"/>
      <c r="Y733" s="14">
        <f>T733*V733/100*N733*100*100*((100-U733)/100)</f>
        <v>4986.7627008000009</v>
      </c>
      <c r="Z733" s="3"/>
      <c r="AA733" s="3"/>
      <c r="AB733" s="5"/>
      <c r="AC733" s="5"/>
      <c r="AD733" s="28"/>
      <c r="AE733" s="28"/>
      <c r="AF733" s="3"/>
      <c r="AG733" s="7"/>
      <c r="AH733" s="7"/>
      <c r="AI733" s="3" t="s">
        <v>59</v>
      </c>
      <c r="AJ733" s="7" t="s">
        <v>102</v>
      </c>
      <c r="AK733" s="3"/>
      <c r="AL733" cm="1">
        <f t="array" ref="AL733">IF(getColor(V733) = 16777215, 0, 1)</f>
        <v>0</v>
      </c>
    </row>
    <row r="734" spans="1:38">
      <c r="A734" s="1">
        <v>733</v>
      </c>
      <c r="B734" s="3" t="s">
        <v>27</v>
      </c>
      <c r="C734" s="7" t="s">
        <v>360</v>
      </c>
      <c r="D734" s="7" t="s">
        <v>217</v>
      </c>
      <c r="E734" s="8">
        <v>54.874933333333331</v>
      </c>
      <c r="F734" s="8">
        <v>-132.96388888888887</v>
      </c>
      <c r="G734" s="9" t="s">
        <v>30</v>
      </c>
      <c r="H734" s="3" t="s">
        <v>31</v>
      </c>
      <c r="I734" s="3" t="s">
        <v>31</v>
      </c>
      <c r="J734" s="3" t="s">
        <v>31</v>
      </c>
      <c r="K734" s="7" t="s">
        <v>103</v>
      </c>
      <c r="L734" s="9">
        <v>16</v>
      </c>
      <c r="M734" s="9">
        <v>41</v>
      </c>
      <c r="N734" s="9">
        <f t="shared" si="63"/>
        <v>25</v>
      </c>
      <c r="O734" s="9"/>
      <c r="P734" s="9"/>
      <c r="Q734" s="25"/>
      <c r="R734" s="11">
        <v>0</v>
      </c>
      <c r="S734" s="1">
        <v>0.86</v>
      </c>
      <c r="T734" s="1">
        <f t="shared" si="64"/>
        <v>0.86</v>
      </c>
      <c r="U734" s="12">
        <v>20</v>
      </c>
      <c r="V734" s="13">
        <v>1.9213450000000001</v>
      </c>
      <c r="W734" s="14">
        <f t="shared" si="66"/>
        <v>3304.7134000000005</v>
      </c>
      <c r="X734" s="25"/>
      <c r="Y734" s="14">
        <f>T734*V734/100*N734*100*100*((100-U734)/100)</f>
        <v>3304.7134000000005</v>
      </c>
      <c r="Z734" s="3"/>
      <c r="AA734" s="3"/>
      <c r="AB734" s="5"/>
      <c r="AC734" s="1"/>
      <c r="AD734" s="28"/>
      <c r="AE734" s="28"/>
      <c r="AF734" s="3"/>
      <c r="AG734" s="7"/>
      <c r="AH734" s="7"/>
      <c r="AI734" s="3" t="s">
        <v>59</v>
      </c>
      <c r="AJ734" s="7" t="s">
        <v>104</v>
      </c>
      <c r="AK734" s="3"/>
      <c r="AL734" cm="1">
        <f t="array" ref="AL734">IF(getColor(V734) = 16777215, 0, 1)</f>
        <v>0</v>
      </c>
    </row>
    <row r="735" spans="1:38">
      <c r="A735" s="1">
        <v>734</v>
      </c>
      <c r="B735" s="3" t="s">
        <v>27</v>
      </c>
      <c r="C735" s="7" t="s">
        <v>360</v>
      </c>
      <c r="D735" s="7" t="s">
        <v>217</v>
      </c>
      <c r="E735" s="8">
        <v>54.874933333333331</v>
      </c>
      <c r="F735" s="8">
        <v>-132.96388888888887</v>
      </c>
      <c r="G735" s="9" t="s">
        <v>30</v>
      </c>
      <c r="H735" s="3" t="s">
        <v>31</v>
      </c>
      <c r="I735" s="3" t="s">
        <v>31</v>
      </c>
      <c r="J735" s="3" t="s">
        <v>31</v>
      </c>
      <c r="K735" s="7" t="s">
        <v>41</v>
      </c>
      <c r="L735" s="9">
        <v>41</v>
      </c>
      <c r="M735" s="9">
        <v>104</v>
      </c>
      <c r="N735" s="9">
        <f t="shared" si="63"/>
        <v>63</v>
      </c>
      <c r="O735" s="9"/>
      <c r="P735" s="9"/>
      <c r="Q735" s="25"/>
      <c r="R735" s="11">
        <v>0</v>
      </c>
      <c r="S735" s="1">
        <v>1.17</v>
      </c>
      <c r="T735" s="1">
        <f t="shared" si="64"/>
        <v>1.17</v>
      </c>
      <c r="U735" s="12">
        <v>30</v>
      </c>
      <c r="V735" s="13">
        <v>0.80136499999999999</v>
      </c>
      <c r="W735" s="14">
        <f t="shared" si="66"/>
        <v>4134.8029904999985</v>
      </c>
      <c r="X735" s="25"/>
      <c r="Y735" s="14">
        <f>IF(L735&gt;-100,W735-W735*(ABS(M735)-100)/(ABS(M735)-ABS(L735)),0)</f>
        <v>3872.2758164999987</v>
      </c>
      <c r="Z735" s="3"/>
      <c r="AA735" s="3"/>
      <c r="AB735" s="5"/>
      <c r="AC735" s="1"/>
      <c r="AD735" s="28"/>
      <c r="AE735" s="28"/>
      <c r="AF735" s="3"/>
      <c r="AG735" s="7"/>
      <c r="AH735" s="7"/>
      <c r="AI735" s="3" t="s">
        <v>59</v>
      </c>
      <c r="AJ735" s="7" t="s">
        <v>61</v>
      </c>
      <c r="AK735" s="3"/>
      <c r="AL735" cm="1">
        <f t="array" ref="AL735">IF(getColor(V735) = 16777215, 0, 1)</f>
        <v>0</v>
      </c>
    </row>
    <row r="736" spans="1:38">
      <c r="A736" s="1">
        <v>735</v>
      </c>
      <c r="B736" s="3" t="s">
        <v>27</v>
      </c>
      <c r="C736" s="7" t="s">
        <v>361</v>
      </c>
      <c r="D736" s="7" t="s">
        <v>206</v>
      </c>
      <c r="E736" s="8">
        <v>54.874933333333331</v>
      </c>
      <c r="F736" s="8">
        <v>-132.96388888888887</v>
      </c>
      <c r="G736" s="9" t="s">
        <v>30</v>
      </c>
      <c r="H736" s="3" t="s">
        <v>31</v>
      </c>
      <c r="I736" s="3" t="s">
        <v>31</v>
      </c>
      <c r="J736" s="3" t="s">
        <v>31</v>
      </c>
      <c r="K736" s="7" t="s">
        <v>53</v>
      </c>
      <c r="L736" s="9">
        <v>5</v>
      </c>
      <c r="M736" s="9">
        <v>0</v>
      </c>
      <c r="N736" s="9">
        <f t="shared" si="63"/>
        <v>5</v>
      </c>
      <c r="O736" s="29">
        <f>M739</f>
        <v>100</v>
      </c>
      <c r="P736" s="29">
        <f>L736</f>
        <v>5</v>
      </c>
      <c r="Q736" s="29">
        <f>P736+O736</f>
        <v>105</v>
      </c>
      <c r="R736" s="11">
        <v>0</v>
      </c>
      <c r="S736" s="1">
        <v>0.11</v>
      </c>
      <c r="T736" s="1">
        <f t="shared" si="64"/>
        <v>0.11</v>
      </c>
      <c r="U736" s="12">
        <v>0</v>
      </c>
      <c r="V736" s="13">
        <v>15.583170000000001</v>
      </c>
      <c r="W736" s="14">
        <f t="shared" si="66"/>
        <v>857.07434999999987</v>
      </c>
      <c r="X736" s="14">
        <f>SUM(W736:W739)</f>
        <v>38731.687302100006</v>
      </c>
      <c r="Y736" s="14">
        <f t="shared" ref="Y736:Y742" si="67">T736*V736/100*N736*100*100*((100-U736)/100)</f>
        <v>857.07434999999987</v>
      </c>
      <c r="Z736" s="15">
        <f>SUM(Y736:Y739)/10^6*10^4</f>
        <v>387.31687302100005</v>
      </c>
      <c r="AA736" s="16">
        <v>47.204348298370235</v>
      </c>
      <c r="AB736" s="5"/>
      <c r="AC736" s="1"/>
      <c r="AD736" s="28"/>
      <c r="AE736" s="28"/>
      <c r="AF736" s="3"/>
      <c r="AG736" s="7"/>
      <c r="AH736" s="7"/>
      <c r="AI736" s="3" t="s">
        <v>107</v>
      </c>
      <c r="AJ736" s="7" t="s">
        <v>53</v>
      </c>
      <c r="AK736" s="3"/>
      <c r="AL736" cm="1">
        <f t="array" ref="AL736">IF(getColor(V736) = 16777215, 0, 1)</f>
        <v>0</v>
      </c>
    </row>
    <row r="737" spans="1:38">
      <c r="A737" s="1">
        <v>736</v>
      </c>
      <c r="B737" s="3" t="s">
        <v>27</v>
      </c>
      <c r="C737" s="7" t="s">
        <v>361</v>
      </c>
      <c r="D737" s="7" t="s">
        <v>206</v>
      </c>
      <c r="E737" s="8">
        <v>54.874933333333331</v>
      </c>
      <c r="F737" s="8">
        <v>-132.96388888888887</v>
      </c>
      <c r="G737" s="9" t="s">
        <v>30</v>
      </c>
      <c r="H737" s="3" t="s">
        <v>31</v>
      </c>
      <c r="I737" s="3" t="s">
        <v>31</v>
      </c>
      <c r="J737" s="3" t="s">
        <v>31</v>
      </c>
      <c r="K737" s="7" t="s">
        <v>101</v>
      </c>
      <c r="L737" s="9">
        <v>0</v>
      </c>
      <c r="M737" s="9">
        <v>26</v>
      </c>
      <c r="N737" s="9">
        <f t="shared" si="63"/>
        <v>26</v>
      </c>
      <c r="O737" s="9"/>
      <c r="P737" s="9"/>
      <c r="Q737" s="25"/>
      <c r="R737" s="11">
        <v>0</v>
      </c>
      <c r="S737" s="1">
        <v>0.86</v>
      </c>
      <c r="T737" s="1">
        <f t="shared" si="64"/>
        <v>0.86</v>
      </c>
      <c r="U737" s="12">
        <v>3</v>
      </c>
      <c r="V737" s="13">
        <v>6.6040200000000002</v>
      </c>
      <c r="W737" s="14">
        <f t="shared" si="66"/>
        <v>14323.591058400001</v>
      </c>
      <c r="X737" s="25"/>
      <c r="Y737" s="14">
        <f t="shared" si="67"/>
        <v>14323.591058400001</v>
      </c>
      <c r="Z737" s="3"/>
      <c r="AA737" s="3"/>
      <c r="AB737" s="5"/>
      <c r="AC737" s="5"/>
      <c r="AD737" s="28"/>
      <c r="AE737" s="28"/>
      <c r="AF737" s="3"/>
      <c r="AG737" s="7"/>
      <c r="AH737" s="7"/>
      <c r="AI737" s="3" t="s">
        <v>107</v>
      </c>
      <c r="AJ737" s="7" t="s">
        <v>102</v>
      </c>
      <c r="AK737" s="3"/>
      <c r="AL737" cm="1">
        <f t="array" ref="AL737">IF(getColor(V737) = 16777215, 0, 1)</f>
        <v>0</v>
      </c>
    </row>
    <row r="738" spans="1:38">
      <c r="A738" s="1">
        <v>737</v>
      </c>
      <c r="B738" s="3" t="s">
        <v>27</v>
      </c>
      <c r="C738" s="7" t="s">
        <v>361</v>
      </c>
      <c r="D738" s="7" t="s">
        <v>206</v>
      </c>
      <c r="E738" s="8">
        <v>54.874933333333331</v>
      </c>
      <c r="F738" s="8">
        <v>-132.96388888888887</v>
      </c>
      <c r="G738" s="9" t="s">
        <v>30</v>
      </c>
      <c r="H738" s="3" t="s">
        <v>31</v>
      </c>
      <c r="I738" s="3" t="s">
        <v>31</v>
      </c>
      <c r="J738" s="3" t="s">
        <v>31</v>
      </c>
      <c r="K738" s="7" t="s">
        <v>103</v>
      </c>
      <c r="L738" s="9">
        <v>26</v>
      </c>
      <c r="M738" s="9">
        <v>58</v>
      </c>
      <c r="N738" s="9">
        <f t="shared" si="63"/>
        <v>32</v>
      </c>
      <c r="O738" s="9"/>
      <c r="P738" s="9"/>
      <c r="Q738" s="25"/>
      <c r="R738" s="11">
        <v>0</v>
      </c>
      <c r="S738" s="1">
        <v>0.86</v>
      </c>
      <c r="T738" s="1">
        <f t="shared" si="64"/>
        <v>0.86</v>
      </c>
      <c r="U738" s="12">
        <v>3</v>
      </c>
      <c r="V738" s="13">
        <v>5.1364600000000005</v>
      </c>
      <c r="W738" s="14">
        <f t="shared" si="66"/>
        <v>13711.471782400002</v>
      </c>
      <c r="X738" s="25"/>
      <c r="Y738" s="14">
        <f t="shared" si="67"/>
        <v>13711.471782400002</v>
      </c>
      <c r="Z738" s="3"/>
      <c r="AA738" s="3"/>
      <c r="AB738" s="5"/>
      <c r="AC738" s="1"/>
      <c r="AD738" s="28"/>
      <c r="AE738" s="28"/>
      <c r="AF738" s="3"/>
      <c r="AG738" s="7"/>
      <c r="AH738" s="7"/>
      <c r="AI738" s="3" t="s">
        <v>107</v>
      </c>
      <c r="AJ738" s="7" t="s">
        <v>104</v>
      </c>
      <c r="AK738" s="3"/>
      <c r="AL738" cm="1">
        <f t="array" ref="AL738">IF(getColor(V738) = 16777215, 0, 1)</f>
        <v>0</v>
      </c>
    </row>
    <row r="739" spans="1:38">
      <c r="A739" s="1">
        <v>738</v>
      </c>
      <c r="B739" s="3" t="s">
        <v>27</v>
      </c>
      <c r="C739" s="7" t="s">
        <v>361</v>
      </c>
      <c r="D739" s="7" t="s">
        <v>206</v>
      </c>
      <c r="E739" s="8">
        <v>54.874933333333331</v>
      </c>
      <c r="F739" s="8">
        <v>-132.96388888888887</v>
      </c>
      <c r="G739" s="9" t="s">
        <v>30</v>
      </c>
      <c r="H739" s="3" t="s">
        <v>31</v>
      </c>
      <c r="I739" s="3" t="s">
        <v>31</v>
      </c>
      <c r="J739" s="3" t="s">
        <v>31</v>
      </c>
      <c r="K739" s="7" t="s">
        <v>41</v>
      </c>
      <c r="L739" s="9">
        <v>58</v>
      </c>
      <c r="M739" s="9">
        <v>100</v>
      </c>
      <c r="N739" s="9">
        <f t="shared" si="63"/>
        <v>42</v>
      </c>
      <c r="O739" s="9"/>
      <c r="P739" s="9"/>
      <c r="Q739" s="25"/>
      <c r="R739" s="11">
        <v>0</v>
      </c>
      <c r="S739" s="1">
        <v>1.17</v>
      </c>
      <c r="T739" s="1">
        <f t="shared" si="64"/>
        <v>1.17</v>
      </c>
      <c r="U739" s="12">
        <v>7</v>
      </c>
      <c r="V739" s="13">
        <v>2.1530650000000002</v>
      </c>
      <c r="W739" s="14">
        <f t="shared" si="66"/>
        <v>9839.5501113000028</v>
      </c>
      <c r="X739" s="25"/>
      <c r="Y739" s="14">
        <f t="shared" si="67"/>
        <v>9839.5501113000028</v>
      </c>
      <c r="Z739" s="3"/>
      <c r="AA739" s="3"/>
      <c r="AB739" s="5"/>
      <c r="AC739" s="1"/>
      <c r="AD739" s="28"/>
      <c r="AE739" s="28"/>
      <c r="AF739" s="3"/>
      <c r="AG739" s="7"/>
      <c r="AH739" s="7"/>
      <c r="AI739" s="3" t="s">
        <v>107</v>
      </c>
      <c r="AJ739" s="7" t="s">
        <v>61</v>
      </c>
      <c r="AK739" s="3"/>
      <c r="AL739" cm="1">
        <f t="array" ref="AL739">IF(getColor(V739) = 16777215, 0, 1)</f>
        <v>0</v>
      </c>
    </row>
    <row r="740" spans="1:38">
      <c r="A740" s="1">
        <v>739</v>
      </c>
      <c r="B740" s="3" t="s">
        <v>27</v>
      </c>
      <c r="C740" s="7" t="s">
        <v>362</v>
      </c>
      <c r="D740" s="7" t="s">
        <v>363</v>
      </c>
      <c r="E740" s="8">
        <v>54.874933333333331</v>
      </c>
      <c r="F740" s="8">
        <v>-132.86388888888888</v>
      </c>
      <c r="G740" s="9" t="s">
        <v>30</v>
      </c>
      <c r="H740" s="3" t="s">
        <v>31</v>
      </c>
      <c r="I740" s="3" t="s">
        <v>31</v>
      </c>
      <c r="J740" s="3" t="s">
        <v>31</v>
      </c>
      <c r="K740" s="7" t="s">
        <v>53</v>
      </c>
      <c r="L740" s="9">
        <v>8</v>
      </c>
      <c r="M740" s="9">
        <v>0</v>
      </c>
      <c r="N740" s="9">
        <f t="shared" si="63"/>
        <v>8</v>
      </c>
      <c r="O740" s="29">
        <f>M743</f>
        <v>102</v>
      </c>
      <c r="P740" s="29">
        <f>L740</f>
        <v>8</v>
      </c>
      <c r="Q740" s="29">
        <f>P740+O740</f>
        <v>110</v>
      </c>
      <c r="R740" s="11">
        <v>0</v>
      </c>
      <c r="S740" s="1">
        <v>0.11</v>
      </c>
      <c r="T740" s="1">
        <f t="shared" si="64"/>
        <v>0.11</v>
      </c>
      <c r="U740" s="12">
        <v>0</v>
      </c>
      <c r="V740" s="13">
        <v>25.807815000000002</v>
      </c>
      <c r="W740" s="14">
        <f t="shared" si="66"/>
        <v>2271.0877200000004</v>
      </c>
      <c r="X740" s="14">
        <f>SUM(W740:W743)</f>
        <v>28150.841352599997</v>
      </c>
      <c r="Y740" s="14">
        <f t="shared" si="67"/>
        <v>2271.0877200000004</v>
      </c>
      <c r="Z740" s="15">
        <f>SUM(Y740:Y743)/10^6*10^4</f>
        <v>279.86607485399992</v>
      </c>
      <c r="AA740" s="16">
        <v>42.306698368064183</v>
      </c>
      <c r="AB740" s="5"/>
      <c r="AC740" s="1"/>
      <c r="AD740" s="28"/>
      <c r="AE740" s="28"/>
      <c r="AF740" s="3"/>
      <c r="AG740" s="7"/>
      <c r="AH740" s="7"/>
      <c r="AI740" s="3" t="s">
        <v>59</v>
      </c>
      <c r="AJ740" s="7" t="s">
        <v>53</v>
      </c>
      <c r="AK740" s="3"/>
      <c r="AL740" cm="1">
        <f t="array" ref="AL740">IF(getColor(V740) = 16777215, 0, 1)</f>
        <v>0</v>
      </c>
    </row>
    <row r="741" spans="1:38">
      <c r="A741" s="1">
        <v>740</v>
      </c>
      <c r="B741" s="3" t="s">
        <v>27</v>
      </c>
      <c r="C741" s="7" t="s">
        <v>362</v>
      </c>
      <c r="D741" s="7" t="s">
        <v>363</v>
      </c>
      <c r="E741" s="8">
        <v>54.874933333333331</v>
      </c>
      <c r="F741" s="8">
        <v>-132.86388888888888</v>
      </c>
      <c r="G741" s="9" t="s">
        <v>30</v>
      </c>
      <c r="H741" s="3" t="s">
        <v>31</v>
      </c>
      <c r="I741" s="3" t="s">
        <v>31</v>
      </c>
      <c r="J741" s="3" t="s">
        <v>31</v>
      </c>
      <c r="K741" s="7" t="s">
        <v>101</v>
      </c>
      <c r="L741" s="9">
        <v>0</v>
      </c>
      <c r="M741" s="9">
        <v>15</v>
      </c>
      <c r="N741" s="9">
        <f t="shared" si="63"/>
        <v>15</v>
      </c>
      <c r="O741" s="9"/>
      <c r="P741" s="9"/>
      <c r="Q741" s="25"/>
      <c r="R741" s="11">
        <v>0</v>
      </c>
      <c r="S741" s="1">
        <v>0.86</v>
      </c>
      <c r="T741" s="1">
        <f t="shared" si="64"/>
        <v>0.86</v>
      </c>
      <c r="U741" s="12">
        <v>2</v>
      </c>
      <c r="V741" s="13">
        <v>9.0081150000000001</v>
      </c>
      <c r="W741" s="14">
        <f t="shared" si="66"/>
        <v>11388.058982999999</v>
      </c>
      <c r="X741" s="25"/>
      <c r="Y741" s="14">
        <f t="shared" si="67"/>
        <v>11388.058982999999</v>
      </c>
      <c r="Z741" s="3"/>
      <c r="AA741" s="3"/>
      <c r="AB741" s="5"/>
      <c r="AC741" s="5"/>
      <c r="AD741" s="28"/>
      <c r="AE741" s="28"/>
      <c r="AF741" s="3"/>
      <c r="AG741" s="7"/>
      <c r="AH741" s="7"/>
      <c r="AI741" s="3" t="s">
        <v>59</v>
      </c>
      <c r="AJ741" s="7" t="s">
        <v>102</v>
      </c>
      <c r="AK741" s="3"/>
      <c r="AL741" cm="1">
        <f t="array" ref="AL741">IF(getColor(V741) = 16777215, 0, 1)</f>
        <v>0</v>
      </c>
    </row>
    <row r="742" spans="1:38">
      <c r="A742" s="1">
        <v>741</v>
      </c>
      <c r="B742" s="3" t="s">
        <v>27</v>
      </c>
      <c r="C742" s="7" t="s">
        <v>362</v>
      </c>
      <c r="D742" s="7" t="s">
        <v>363</v>
      </c>
      <c r="E742" s="8">
        <v>54.874933333333331</v>
      </c>
      <c r="F742" s="8">
        <v>-132.86388888888888</v>
      </c>
      <c r="G742" s="9" t="s">
        <v>30</v>
      </c>
      <c r="H742" s="3" t="s">
        <v>31</v>
      </c>
      <c r="I742" s="3" t="s">
        <v>31</v>
      </c>
      <c r="J742" s="3" t="s">
        <v>31</v>
      </c>
      <c r="K742" s="7" t="s">
        <v>103</v>
      </c>
      <c r="L742" s="9">
        <v>15</v>
      </c>
      <c r="M742" s="9">
        <v>51</v>
      </c>
      <c r="N742" s="9">
        <f t="shared" si="63"/>
        <v>36</v>
      </c>
      <c r="O742" s="9"/>
      <c r="P742" s="9"/>
      <c r="Q742" s="25"/>
      <c r="R742" s="11">
        <v>0</v>
      </c>
      <c r="S742" s="1">
        <v>0.86</v>
      </c>
      <c r="T742" s="1">
        <f t="shared" si="64"/>
        <v>0.86</v>
      </c>
      <c r="U742" s="12">
        <v>10</v>
      </c>
      <c r="V742" s="13">
        <v>3.6978650000000002</v>
      </c>
      <c r="W742" s="14">
        <f t="shared" si="66"/>
        <v>10303.731035999999</v>
      </c>
      <c r="X742" s="25"/>
      <c r="Y742" s="14">
        <f t="shared" si="67"/>
        <v>10303.731035999999</v>
      </c>
      <c r="Z742" s="3"/>
      <c r="AA742" s="3"/>
      <c r="AB742" s="5"/>
      <c r="AC742" s="1"/>
      <c r="AD742" s="28"/>
      <c r="AE742" s="28"/>
      <c r="AF742" s="3"/>
      <c r="AG742" s="7"/>
      <c r="AH742" s="7"/>
      <c r="AI742" s="3" t="s">
        <v>59</v>
      </c>
      <c r="AJ742" s="7" t="s">
        <v>104</v>
      </c>
      <c r="AK742" s="3"/>
      <c r="AL742" cm="1">
        <f t="array" ref="AL742">IF(getColor(V742) = 16777215, 0, 1)</f>
        <v>0</v>
      </c>
    </row>
    <row r="743" spans="1:38">
      <c r="A743" s="1">
        <v>742</v>
      </c>
      <c r="B743" s="3" t="s">
        <v>27</v>
      </c>
      <c r="C743" s="7" t="s">
        <v>362</v>
      </c>
      <c r="D743" s="7" t="s">
        <v>363</v>
      </c>
      <c r="E743" s="8">
        <v>54.874933333333331</v>
      </c>
      <c r="F743" s="8">
        <v>-132.86388888888888</v>
      </c>
      <c r="G743" s="9" t="s">
        <v>30</v>
      </c>
      <c r="H743" s="3" t="s">
        <v>31</v>
      </c>
      <c r="I743" s="3" t="s">
        <v>31</v>
      </c>
      <c r="J743" s="3" t="s">
        <v>31</v>
      </c>
      <c r="K743" s="7" t="s">
        <v>137</v>
      </c>
      <c r="L743" s="9">
        <v>51</v>
      </c>
      <c r="M743" s="9">
        <v>102</v>
      </c>
      <c r="N743" s="9">
        <f t="shared" si="63"/>
        <v>51</v>
      </c>
      <c r="O743" s="9"/>
      <c r="P743" s="9"/>
      <c r="Q743" s="25"/>
      <c r="R743" s="11">
        <v>0</v>
      </c>
      <c r="S743" s="1">
        <v>1.74</v>
      </c>
      <c r="T743" s="1">
        <f t="shared" si="64"/>
        <v>1.74</v>
      </c>
      <c r="U743" s="12">
        <v>6</v>
      </c>
      <c r="V743" s="13">
        <v>0.50206000000000006</v>
      </c>
      <c r="W743" s="14">
        <f t="shared" si="66"/>
        <v>4187.9636135999999</v>
      </c>
      <c r="X743" s="25"/>
      <c r="Y743" s="14">
        <f>IF(L743&gt;-100,W743-W743*(ABS(M743)-100)/(ABS(M743)-ABS(L743)),0)</f>
        <v>4023.7297463999998</v>
      </c>
      <c r="Z743" s="3"/>
      <c r="AA743" s="3"/>
      <c r="AB743" s="5"/>
      <c r="AC743" s="1"/>
      <c r="AD743" s="28"/>
      <c r="AE743" s="28"/>
      <c r="AF743" s="3"/>
      <c r="AG743" s="7"/>
      <c r="AH743" s="7"/>
      <c r="AI743" s="3" t="s">
        <v>59</v>
      </c>
      <c r="AJ743" s="7" t="s">
        <v>137</v>
      </c>
      <c r="AK743" s="3"/>
      <c r="AL743" cm="1">
        <f t="array" ref="AL743">IF(getColor(V743) = 16777215, 0, 1)</f>
        <v>0</v>
      </c>
    </row>
    <row r="744" spans="1:38">
      <c r="A744" s="1">
        <v>743</v>
      </c>
      <c r="B744" s="3" t="s">
        <v>27</v>
      </c>
      <c r="C744" s="7" t="s">
        <v>364</v>
      </c>
      <c r="D744" s="7" t="s">
        <v>363</v>
      </c>
      <c r="E744" s="8">
        <v>54.874933333333331</v>
      </c>
      <c r="F744" s="8">
        <v>-132.96388888888887</v>
      </c>
      <c r="G744" s="9" t="s">
        <v>30</v>
      </c>
      <c r="H744" s="3" t="s">
        <v>31</v>
      </c>
      <c r="I744" s="3" t="s">
        <v>31</v>
      </c>
      <c r="J744" s="3" t="s">
        <v>31</v>
      </c>
      <c r="K744" s="7" t="s">
        <v>53</v>
      </c>
      <c r="L744" s="9">
        <v>5</v>
      </c>
      <c r="M744" s="9">
        <v>0</v>
      </c>
      <c r="N744" s="9">
        <f t="shared" si="63"/>
        <v>5</v>
      </c>
      <c r="O744" s="29">
        <f>M747</f>
        <v>102</v>
      </c>
      <c r="P744" s="29">
        <f>L744</f>
        <v>5</v>
      </c>
      <c r="Q744" s="29">
        <f>P744+O744</f>
        <v>107</v>
      </c>
      <c r="R744" s="11">
        <v>0</v>
      </c>
      <c r="S744" s="1">
        <v>0.11</v>
      </c>
      <c r="T744" s="1">
        <f t="shared" si="64"/>
        <v>0.11</v>
      </c>
      <c r="U744" s="12">
        <v>0</v>
      </c>
      <c r="V744" s="13">
        <v>17.002455000000001</v>
      </c>
      <c r="W744" s="14">
        <f t="shared" si="66"/>
        <v>935.13502500000016</v>
      </c>
      <c r="X744" s="14">
        <f>SUM(W744:W747)</f>
        <v>28370.018735200003</v>
      </c>
      <c r="Y744" s="14">
        <f>T744*V744/100*N744*100*100*((100-U744)/100)</f>
        <v>935.13502500000016</v>
      </c>
      <c r="Z744" s="15">
        <f>SUM(Y744:Y747)/10^6*10^4</f>
        <v>282.38544283000004</v>
      </c>
      <c r="AA744" s="16">
        <v>36.517171138938643</v>
      </c>
      <c r="AB744" s="5"/>
      <c r="AC744" s="1"/>
      <c r="AD744" s="28"/>
      <c r="AE744" s="28"/>
      <c r="AF744" s="3"/>
      <c r="AG744" s="7"/>
      <c r="AH744" s="7"/>
      <c r="AI744" s="3" t="s">
        <v>59</v>
      </c>
      <c r="AJ744" s="7" t="s">
        <v>53</v>
      </c>
      <c r="AK744" s="3"/>
      <c r="AL744" cm="1">
        <f t="array" ref="AL744">IF(getColor(V744) = 16777215, 0, 1)</f>
        <v>0</v>
      </c>
    </row>
    <row r="745" spans="1:38">
      <c r="A745" s="1">
        <v>744</v>
      </c>
      <c r="B745" s="3" t="s">
        <v>27</v>
      </c>
      <c r="C745" s="7" t="s">
        <v>364</v>
      </c>
      <c r="D745" s="7" t="s">
        <v>363</v>
      </c>
      <c r="E745" s="8">
        <v>54.874933333333331</v>
      </c>
      <c r="F745" s="8">
        <v>-132.96388888888887</v>
      </c>
      <c r="G745" s="9" t="s">
        <v>30</v>
      </c>
      <c r="H745" s="3" t="s">
        <v>31</v>
      </c>
      <c r="I745" s="3" t="s">
        <v>31</v>
      </c>
      <c r="J745" s="3" t="s">
        <v>31</v>
      </c>
      <c r="K745" s="7" t="s">
        <v>101</v>
      </c>
      <c r="L745" s="9">
        <v>0</v>
      </c>
      <c r="M745" s="9">
        <v>10</v>
      </c>
      <c r="N745" s="9">
        <f t="shared" si="63"/>
        <v>10</v>
      </c>
      <c r="O745" s="9"/>
      <c r="P745" s="9"/>
      <c r="Q745" s="25"/>
      <c r="R745" s="11">
        <v>0</v>
      </c>
      <c r="S745" s="1">
        <v>0.86</v>
      </c>
      <c r="T745" s="1">
        <f t="shared" si="64"/>
        <v>0.86</v>
      </c>
      <c r="U745" s="12">
        <v>14</v>
      </c>
      <c r="V745" s="13">
        <v>1.7089350000000001</v>
      </c>
      <c r="W745" s="14">
        <f t="shared" si="66"/>
        <v>1263.928326</v>
      </c>
      <c r="X745" s="25"/>
      <c r="Y745" s="14">
        <f>T745*V745/100*N745*100*100*((100-U745)/100)</f>
        <v>1263.928326</v>
      </c>
      <c r="Z745" s="3"/>
      <c r="AA745" s="3"/>
      <c r="AB745" s="5"/>
      <c r="AC745" s="5"/>
      <c r="AD745" s="28"/>
      <c r="AE745" s="28"/>
      <c r="AF745" s="3"/>
      <c r="AG745" s="7"/>
      <c r="AH745" s="7"/>
      <c r="AI745" s="3" t="s">
        <v>59</v>
      </c>
      <c r="AJ745" s="7" t="s">
        <v>102</v>
      </c>
      <c r="AK745" s="3"/>
      <c r="AL745" cm="1">
        <f t="array" ref="AL745">IF(getColor(V745) = 16777215, 0, 1)</f>
        <v>0</v>
      </c>
    </row>
    <row r="746" spans="1:38">
      <c r="A746" s="1">
        <v>745</v>
      </c>
      <c r="B746" s="3" t="s">
        <v>27</v>
      </c>
      <c r="C746" s="7" t="s">
        <v>364</v>
      </c>
      <c r="D746" s="7" t="s">
        <v>363</v>
      </c>
      <c r="E746" s="8">
        <v>54.874933333333331</v>
      </c>
      <c r="F746" s="8">
        <v>-132.96388888888887</v>
      </c>
      <c r="G746" s="9" t="s">
        <v>30</v>
      </c>
      <c r="H746" s="3" t="s">
        <v>31</v>
      </c>
      <c r="I746" s="3" t="s">
        <v>31</v>
      </c>
      <c r="J746" s="3" t="s">
        <v>31</v>
      </c>
      <c r="K746" s="7" t="s">
        <v>103</v>
      </c>
      <c r="L746" s="9">
        <v>10</v>
      </c>
      <c r="M746" s="9">
        <v>51</v>
      </c>
      <c r="N746" s="9">
        <f t="shared" si="63"/>
        <v>41</v>
      </c>
      <c r="O746" s="9"/>
      <c r="P746" s="9"/>
      <c r="Q746" s="25"/>
      <c r="R746" s="11">
        <v>0</v>
      </c>
      <c r="S746" s="1">
        <v>0.86</v>
      </c>
      <c r="T746" s="1">
        <f t="shared" si="64"/>
        <v>0.86</v>
      </c>
      <c r="U746" s="12">
        <v>3</v>
      </c>
      <c r="V746" s="13">
        <v>6.6716050000000005</v>
      </c>
      <c r="W746" s="14">
        <f t="shared" si="66"/>
        <v>22818.356853100002</v>
      </c>
      <c r="X746" s="25"/>
      <c r="Y746" s="14">
        <f>T746*V746/100*N746*100*100*((100-U746)/100)</f>
        <v>22818.356853100002</v>
      </c>
      <c r="Z746" s="3"/>
      <c r="AA746" s="3"/>
      <c r="AB746" s="5"/>
      <c r="AC746" s="1"/>
      <c r="AD746" s="28"/>
      <c r="AE746" s="28"/>
      <c r="AF746" s="3"/>
      <c r="AG746" s="7"/>
      <c r="AH746" s="7"/>
      <c r="AI746" s="3" t="s">
        <v>59</v>
      </c>
      <c r="AJ746" s="7" t="s">
        <v>104</v>
      </c>
      <c r="AK746" s="3"/>
      <c r="AL746" cm="1">
        <f t="array" ref="AL746">IF(getColor(V746) = 16777215, 0, 1)</f>
        <v>0</v>
      </c>
    </row>
    <row r="747" spans="1:38">
      <c r="A747" s="1">
        <v>746</v>
      </c>
      <c r="B747" s="3" t="s">
        <v>27</v>
      </c>
      <c r="C747" s="7" t="s">
        <v>364</v>
      </c>
      <c r="D747" s="7" t="s">
        <v>363</v>
      </c>
      <c r="E747" s="8">
        <v>54.874933333333331</v>
      </c>
      <c r="F747" s="8">
        <v>-132.96388888888887</v>
      </c>
      <c r="G747" s="9" t="s">
        <v>30</v>
      </c>
      <c r="H747" s="3" t="s">
        <v>31</v>
      </c>
      <c r="I747" s="3" t="s">
        <v>31</v>
      </c>
      <c r="J747" s="3" t="s">
        <v>31</v>
      </c>
      <c r="K747" s="7" t="s">
        <v>137</v>
      </c>
      <c r="L747" s="9">
        <v>51</v>
      </c>
      <c r="M747" s="9">
        <v>102</v>
      </c>
      <c r="N747" s="9">
        <f t="shared" si="63"/>
        <v>51</v>
      </c>
      <c r="O747" s="9"/>
      <c r="P747" s="9"/>
      <c r="Q747" s="25"/>
      <c r="R747" s="11">
        <v>0</v>
      </c>
      <c r="S747" s="1">
        <v>1.74</v>
      </c>
      <c r="T747" s="1">
        <f t="shared" si="64"/>
        <v>1.74</v>
      </c>
      <c r="U747" s="12">
        <v>9</v>
      </c>
      <c r="V747" s="13">
        <v>0.41516500000000001</v>
      </c>
      <c r="W747" s="14">
        <f t="shared" si="66"/>
        <v>3352.5985311000009</v>
      </c>
      <c r="X747" s="25"/>
      <c r="Y747" s="14">
        <f>IF(L747&gt;-100,W747-W747*(ABS(M747)-100)/(ABS(M747)-ABS(L747)),0)</f>
        <v>3221.1240789000008</v>
      </c>
      <c r="Z747" s="3"/>
      <c r="AA747" s="3"/>
      <c r="AB747" s="5"/>
      <c r="AC747" s="1"/>
      <c r="AD747" s="28"/>
      <c r="AE747" s="28"/>
      <c r="AF747" s="3"/>
      <c r="AG747" s="7"/>
      <c r="AH747" s="7"/>
      <c r="AI747" s="3" t="s">
        <v>59</v>
      </c>
      <c r="AJ747" s="7" t="s">
        <v>137</v>
      </c>
      <c r="AK747" s="3"/>
      <c r="AL747" cm="1">
        <f t="array" ref="AL747">IF(getColor(V747) = 16777215, 0, 1)</f>
        <v>0</v>
      </c>
    </row>
    <row r="748" spans="1:38">
      <c r="A748" s="1">
        <v>747</v>
      </c>
      <c r="B748" s="3" t="s">
        <v>27</v>
      </c>
      <c r="C748" s="7" t="s">
        <v>365</v>
      </c>
      <c r="D748" s="7" t="s">
        <v>366</v>
      </c>
      <c r="E748" s="8">
        <v>54.891633333333331</v>
      </c>
      <c r="F748" s="8">
        <v>-132.85833333333332</v>
      </c>
      <c r="G748" s="9" t="s">
        <v>30</v>
      </c>
      <c r="H748" s="3" t="s">
        <v>31</v>
      </c>
      <c r="I748" s="3" t="s">
        <v>31</v>
      </c>
      <c r="J748" s="3" t="s">
        <v>31</v>
      </c>
      <c r="K748" s="7" t="s">
        <v>53</v>
      </c>
      <c r="L748" s="9">
        <v>20</v>
      </c>
      <c r="M748" s="9">
        <v>0</v>
      </c>
      <c r="N748" s="9">
        <f t="shared" si="63"/>
        <v>20</v>
      </c>
      <c r="O748" s="29">
        <f>M752</f>
        <v>150</v>
      </c>
      <c r="P748" s="29">
        <f>L748</f>
        <v>20</v>
      </c>
      <c r="Q748" s="29">
        <f>P748+O748</f>
        <v>170</v>
      </c>
      <c r="R748" s="11">
        <v>0</v>
      </c>
      <c r="S748" s="1">
        <v>0.11</v>
      </c>
      <c r="T748" s="1">
        <f t="shared" si="64"/>
        <v>0.11</v>
      </c>
      <c r="U748" s="12">
        <v>0</v>
      </c>
      <c r="V748" s="13">
        <v>32.86562</v>
      </c>
      <c r="W748" s="14">
        <f t="shared" si="66"/>
        <v>7230.4364000000005</v>
      </c>
      <c r="X748" s="14">
        <f>SUM(W748:W752)</f>
        <v>26893.584824699999</v>
      </c>
      <c r="Y748" s="14">
        <f t="shared" ref="Y748:Y764" si="68">T748*V748/100*N748*100*100*((100-U748)/100)</f>
        <v>7230.4364000000005</v>
      </c>
      <c r="Z748" s="15">
        <f>SUM(Y748:Y752)/10^6*10^4</f>
        <v>268.93584824700002</v>
      </c>
      <c r="AA748" s="16">
        <v>56.656638130858006</v>
      </c>
      <c r="AB748" s="5"/>
      <c r="AC748" s="1"/>
      <c r="AD748" s="28"/>
      <c r="AE748" s="28"/>
      <c r="AF748" s="3"/>
      <c r="AG748" s="7"/>
      <c r="AH748" s="7"/>
      <c r="AI748" s="3" t="s">
        <v>59</v>
      </c>
      <c r="AJ748" s="7" t="s">
        <v>53</v>
      </c>
      <c r="AK748" s="3"/>
      <c r="AL748" cm="1">
        <f t="array" ref="AL748">IF(getColor(V748) = 16777215, 0, 1)</f>
        <v>0</v>
      </c>
    </row>
    <row r="749" spans="1:38">
      <c r="A749" s="1">
        <v>748</v>
      </c>
      <c r="B749" s="3" t="s">
        <v>27</v>
      </c>
      <c r="C749" s="7" t="s">
        <v>365</v>
      </c>
      <c r="D749" s="7" t="s">
        <v>366</v>
      </c>
      <c r="E749" s="8">
        <v>54.891633333333331</v>
      </c>
      <c r="F749" s="8">
        <v>-132.85833333333332</v>
      </c>
      <c r="G749" s="9" t="s">
        <v>30</v>
      </c>
      <c r="H749" s="3" t="s">
        <v>31</v>
      </c>
      <c r="I749" s="3" t="s">
        <v>31</v>
      </c>
      <c r="J749" s="3" t="s">
        <v>31</v>
      </c>
      <c r="K749" s="7" t="s">
        <v>47</v>
      </c>
      <c r="L749" s="9">
        <v>0</v>
      </c>
      <c r="M749" s="9">
        <v>1</v>
      </c>
      <c r="N749" s="9">
        <f t="shared" si="63"/>
        <v>1</v>
      </c>
      <c r="O749" s="9"/>
      <c r="P749" s="9"/>
      <c r="Q749" s="25"/>
      <c r="R749" s="11">
        <v>0</v>
      </c>
      <c r="S749" s="1">
        <v>0.93</v>
      </c>
      <c r="T749" s="1">
        <f t="shared" si="64"/>
        <v>0.93</v>
      </c>
      <c r="U749" s="12">
        <v>3</v>
      </c>
      <c r="V749" s="13">
        <v>2.62616</v>
      </c>
      <c r="W749" s="14">
        <f t="shared" si="66"/>
        <v>236.90589360000001</v>
      </c>
      <c r="X749" s="25"/>
      <c r="Y749" s="14">
        <f t="shared" si="68"/>
        <v>236.90589360000001</v>
      </c>
      <c r="Z749" s="3"/>
      <c r="AA749" s="3"/>
      <c r="AB749" s="5"/>
      <c r="AC749" s="5"/>
      <c r="AD749" s="28"/>
      <c r="AE749" s="28"/>
      <c r="AF749" s="3"/>
      <c r="AG749" s="7"/>
      <c r="AH749" s="7"/>
      <c r="AI749" s="3" t="s">
        <v>59</v>
      </c>
      <c r="AJ749" s="7" t="s">
        <v>47</v>
      </c>
      <c r="AK749" s="3"/>
      <c r="AL749" cm="1">
        <f t="array" ref="AL749">IF(getColor(V749) = 16777215, 0, 1)</f>
        <v>0</v>
      </c>
    </row>
    <row r="750" spans="1:38">
      <c r="A750" s="1">
        <v>749</v>
      </c>
      <c r="B750" s="3" t="s">
        <v>27</v>
      </c>
      <c r="C750" s="7" t="s">
        <v>365</v>
      </c>
      <c r="D750" s="7" t="s">
        <v>366</v>
      </c>
      <c r="E750" s="8">
        <v>54.891633333333331</v>
      </c>
      <c r="F750" s="8">
        <v>-132.85833333333332</v>
      </c>
      <c r="G750" s="9" t="s">
        <v>30</v>
      </c>
      <c r="H750" s="3" t="s">
        <v>31</v>
      </c>
      <c r="I750" s="3" t="s">
        <v>31</v>
      </c>
      <c r="J750" s="3" t="s">
        <v>31</v>
      </c>
      <c r="K750" s="7" t="s">
        <v>77</v>
      </c>
      <c r="L750" s="9">
        <v>1</v>
      </c>
      <c r="M750" s="9">
        <v>18</v>
      </c>
      <c r="N750" s="9">
        <f t="shared" si="63"/>
        <v>17</v>
      </c>
      <c r="O750" s="9"/>
      <c r="P750" s="9"/>
      <c r="Q750" s="25"/>
      <c r="R750" s="11">
        <v>0</v>
      </c>
      <c r="S750" s="1">
        <v>0.86</v>
      </c>
      <c r="T750" s="1">
        <f t="shared" si="64"/>
        <v>0.86</v>
      </c>
      <c r="U750" s="12">
        <v>3</v>
      </c>
      <c r="V750" s="13">
        <v>2.7323650000000002</v>
      </c>
      <c r="W750" s="14">
        <f t="shared" si="66"/>
        <v>3874.8761010999997</v>
      </c>
      <c r="X750" s="25"/>
      <c r="Y750" s="14">
        <f t="shared" si="68"/>
        <v>3874.8761010999997</v>
      </c>
      <c r="Z750" s="3"/>
      <c r="AA750" s="3"/>
      <c r="AB750" s="5"/>
      <c r="AC750" s="1"/>
      <c r="AD750" s="28"/>
      <c r="AE750" s="1"/>
      <c r="AF750" s="3"/>
      <c r="AG750" s="7"/>
      <c r="AH750" s="7"/>
      <c r="AI750" s="3" t="s">
        <v>59</v>
      </c>
      <c r="AJ750" s="7" t="s">
        <v>78</v>
      </c>
      <c r="AK750" s="3"/>
      <c r="AL750" cm="1">
        <f t="array" ref="AL750">IF(getColor(V750) = 16777215, 0, 1)</f>
        <v>0</v>
      </c>
    </row>
    <row r="751" spans="1:38">
      <c r="A751" s="1">
        <v>750</v>
      </c>
      <c r="B751" s="3" t="s">
        <v>27</v>
      </c>
      <c r="C751" s="7" t="s">
        <v>365</v>
      </c>
      <c r="D751" s="7" t="s">
        <v>366</v>
      </c>
      <c r="E751" s="8">
        <v>54.891633333333331</v>
      </c>
      <c r="F751" s="8">
        <v>-132.85833333333332</v>
      </c>
      <c r="G751" s="9" t="s">
        <v>30</v>
      </c>
      <c r="H751" s="3" t="s">
        <v>31</v>
      </c>
      <c r="I751" s="3" t="s">
        <v>31</v>
      </c>
      <c r="J751" s="3" t="s">
        <v>31</v>
      </c>
      <c r="K751" s="7" t="s">
        <v>249</v>
      </c>
      <c r="L751" s="9">
        <v>18</v>
      </c>
      <c r="M751" s="9">
        <v>55</v>
      </c>
      <c r="N751" s="9">
        <f t="shared" si="63"/>
        <v>37</v>
      </c>
      <c r="O751" s="9"/>
      <c r="P751" s="9"/>
      <c r="Q751" s="25"/>
      <c r="R751" s="11">
        <v>0</v>
      </c>
      <c r="S751" s="1">
        <v>1.71</v>
      </c>
      <c r="T751" s="1">
        <f t="shared" si="64"/>
        <v>1.71</v>
      </c>
      <c r="U751" s="12">
        <v>5</v>
      </c>
      <c r="V751" s="13">
        <v>1.39032</v>
      </c>
      <c r="W751" s="14">
        <f t="shared" si="66"/>
        <v>8356.7269079999987</v>
      </c>
      <c r="X751" s="25"/>
      <c r="Y751" s="14">
        <f t="shared" si="68"/>
        <v>8356.7269079999987</v>
      </c>
      <c r="Z751" s="3"/>
      <c r="AA751" s="3"/>
      <c r="AB751" s="5"/>
      <c r="AC751" s="1"/>
      <c r="AD751" s="28"/>
      <c r="AE751" s="1"/>
      <c r="AF751" s="3"/>
      <c r="AG751" s="7"/>
      <c r="AH751" s="7"/>
      <c r="AI751" s="3" t="s">
        <v>59</v>
      </c>
      <c r="AJ751" s="7" t="s">
        <v>249</v>
      </c>
      <c r="AK751" s="3"/>
      <c r="AL751" cm="1">
        <f t="array" ref="AL751">IF(getColor(V751) = 16777215, 0, 1)</f>
        <v>0</v>
      </c>
    </row>
    <row r="752" spans="1:38">
      <c r="A752" s="1">
        <v>751</v>
      </c>
      <c r="B752" s="3" t="s">
        <v>27</v>
      </c>
      <c r="C752" s="7" t="s">
        <v>365</v>
      </c>
      <c r="D752" s="7" t="s">
        <v>366</v>
      </c>
      <c r="E752" s="8">
        <v>54.891633333333331</v>
      </c>
      <c r="F752" s="8">
        <v>-132.85833333333332</v>
      </c>
      <c r="G752" s="9" t="s">
        <v>30</v>
      </c>
      <c r="H752" s="3" t="s">
        <v>31</v>
      </c>
      <c r="I752" s="3" t="s">
        <v>31</v>
      </c>
      <c r="J752" s="3" t="s">
        <v>31</v>
      </c>
      <c r="K752" s="7" t="s">
        <v>44</v>
      </c>
      <c r="L752" s="9">
        <v>55</v>
      </c>
      <c r="M752" s="9">
        <v>150</v>
      </c>
      <c r="N752" s="9">
        <f t="shared" si="63"/>
        <v>95</v>
      </c>
      <c r="O752" s="9"/>
      <c r="P752" s="9"/>
      <c r="Q752" s="25"/>
      <c r="R752" s="11">
        <v>0</v>
      </c>
      <c r="S752" s="1">
        <v>1.74</v>
      </c>
      <c r="T752" s="1">
        <f t="shared" si="64"/>
        <v>1.74</v>
      </c>
      <c r="U752" s="12">
        <v>8</v>
      </c>
      <c r="V752" s="13">
        <v>0.47309499999999999</v>
      </c>
      <c r="W752" s="14">
        <f t="shared" si="66"/>
        <v>7194.6395220000004</v>
      </c>
      <c r="X752" s="25"/>
      <c r="Y752" s="14">
        <f t="shared" si="68"/>
        <v>7194.6395220000004</v>
      </c>
      <c r="Z752" s="3"/>
      <c r="AA752" s="3"/>
      <c r="AB752" s="5"/>
      <c r="AC752" s="1"/>
      <c r="AD752" s="28"/>
      <c r="AE752" s="1"/>
      <c r="AF752" s="3"/>
      <c r="AG752" s="7"/>
      <c r="AH752" s="7"/>
      <c r="AI752" s="3" t="s">
        <v>59</v>
      </c>
      <c r="AJ752" s="7" t="s">
        <v>44</v>
      </c>
      <c r="AK752" s="3"/>
      <c r="AL752" cm="1">
        <f t="array" ref="AL752">IF(getColor(V752) = 16777215, 0, 1)</f>
        <v>0</v>
      </c>
    </row>
    <row r="753" spans="1:38">
      <c r="A753" s="1">
        <v>752</v>
      </c>
      <c r="B753" s="3" t="s">
        <v>27</v>
      </c>
      <c r="C753" s="7" t="s">
        <v>367</v>
      </c>
      <c r="D753" s="7" t="s">
        <v>206</v>
      </c>
      <c r="E753" s="8">
        <v>54.937466666666673</v>
      </c>
      <c r="F753" s="8">
        <v>-132.9333</v>
      </c>
      <c r="G753" s="9" t="s">
        <v>30</v>
      </c>
      <c r="H753" s="3" t="s">
        <v>31</v>
      </c>
      <c r="I753" s="3" t="s">
        <v>31</v>
      </c>
      <c r="J753" s="3" t="s">
        <v>31</v>
      </c>
      <c r="K753" s="7" t="s">
        <v>53</v>
      </c>
      <c r="L753" s="9">
        <v>3</v>
      </c>
      <c r="M753" s="9">
        <v>0</v>
      </c>
      <c r="N753" s="9">
        <f t="shared" si="63"/>
        <v>3</v>
      </c>
      <c r="O753" s="29">
        <f>M757</f>
        <v>76</v>
      </c>
      <c r="P753" s="29">
        <f>L753</f>
        <v>3</v>
      </c>
      <c r="Q753" s="29">
        <f>P753+O753</f>
        <v>79</v>
      </c>
      <c r="R753" s="11">
        <v>0</v>
      </c>
      <c r="S753" s="1">
        <v>0.11</v>
      </c>
      <c r="T753" s="1">
        <f t="shared" si="64"/>
        <v>0.11</v>
      </c>
      <c r="U753" s="12"/>
      <c r="V753" s="31">
        <v>37.79128262471886</v>
      </c>
      <c r="W753" s="14">
        <f t="shared" si="66"/>
        <v>1247.1123266157222</v>
      </c>
      <c r="X753" s="14">
        <f>SUM(W753:W757)</f>
        <v>30863.827143815717</v>
      </c>
      <c r="Y753" s="14">
        <f t="shared" si="68"/>
        <v>1247.1123266157222</v>
      </c>
      <c r="Z753" s="15">
        <f>SUM(Y753:Y757)/10^6*10^4</f>
        <v>308.63827143815718</v>
      </c>
      <c r="AA753" s="16">
        <v>31.176969440443187</v>
      </c>
      <c r="AB753" s="5"/>
      <c r="AC753" s="1"/>
      <c r="AD753" s="28"/>
      <c r="AE753" s="1"/>
      <c r="AF753" s="3"/>
      <c r="AG753" s="7"/>
      <c r="AH753" s="7"/>
      <c r="AI753" s="3" t="s">
        <v>107</v>
      </c>
      <c r="AJ753" s="7" t="s">
        <v>53</v>
      </c>
      <c r="AK753" s="3"/>
      <c r="AL753" cm="1">
        <f t="array" ref="AL753">IF(getColor(V753) = 16777215, 0, 1)</f>
        <v>1</v>
      </c>
    </row>
    <row r="754" spans="1:38">
      <c r="A754" s="1">
        <v>753</v>
      </c>
      <c r="B754" s="3" t="s">
        <v>27</v>
      </c>
      <c r="C754" s="7" t="s">
        <v>367</v>
      </c>
      <c r="D754" s="7" t="s">
        <v>206</v>
      </c>
      <c r="E754" s="8">
        <v>54.937466666666673</v>
      </c>
      <c r="F754" s="8">
        <v>-132.9333</v>
      </c>
      <c r="G754" s="9" t="s">
        <v>30</v>
      </c>
      <c r="H754" s="3" t="s">
        <v>31</v>
      </c>
      <c r="I754" s="3" t="s">
        <v>31</v>
      </c>
      <c r="J754" s="3" t="s">
        <v>31</v>
      </c>
      <c r="K754" s="7" t="s">
        <v>77</v>
      </c>
      <c r="L754" s="9">
        <v>0</v>
      </c>
      <c r="M754" s="9">
        <v>10</v>
      </c>
      <c r="N754" s="9">
        <f t="shared" si="63"/>
        <v>10</v>
      </c>
      <c r="O754" s="9"/>
      <c r="P754" s="9"/>
      <c r="Q754" s="25"/>
      <c r="R754" s="11">
        <v>0</v>
      </c>
      <c r="S754" s="1">
        <v>0.86</v>
      </c>
      <c r="T754" s="1">
        <f t="shared" si="64"/>
        <v>0.86</v>
      </c>
      <c r="U754" s="12">
        <v>1</v>
      </c>
      <c r="V754" s="13">
        <v>4.7599149999999995</v>
      </c>
      <c r="W754" s="14">
        <f t="shared" si="66"/>
        <v>4052.5916309999998</v>
      </c>
      <c r="X754" s="25"/>
      <c r="Y754" s="14">
        <f t="shared" si="68"/>
        <v>4052.5916309999998</v>
      </c>
      <c r="Z754" s="3"/>
      <c r="AA754" s="3"/>
      <c r="AB754" s="5"/>
      <c r="AC754" s="5"/>
      <c r="AD754" s="32"/>
      <c r="AE754" s="1"/>
      <c r="AF754" s="3"/>
      <c r="AG754" s="7"/>
      <c r="AH754" s="7"/>
      <c r="AI754" s="3" t="s">
        <v>107</v>
      </c>
      <c r="AJ754" s="7" t="s">
        <v>78</v>
      </c>
      <c r="AK754" s="3"/>
      <c r="AL754" cm="1">
        <f t="array" ref="AL754">IF(getColor(V754) = 16777215, 0, 1)</f>
        <v>0</v>
      </c>
    </row>
    <row r="755" spans="1:38">
      <c r="A755" s="1">
        <v>754</v>
      </c>
      <c r="B755" s="3" t="s">
        <v>27</v>
      </c>
      <c r="C755" s="7" t="s">
        <v>367</v>
      </c>
      <c r="D755" s="7" t="s">
        <v>206</v>
      </c>
      <c r="E755" s="8">
        <v>54.937466666666673</v>
      </c>
      <c r="F755" s="8">
        <v>-132.9333</v>
      </c>
      <c r="G755" s="9" t="s">
        <v>30</v>
      </c>
      <c r="H755" s="3" t="s">
        <v>31</v>
      </c>
      <c r="I755" s="3" t="s">
        <v>31</v>
      </c>
      <c r="J755" s="3" t="s">
        <v>31</v>
      </c>
      <c r="K755" s="7" t="s">
        <v>41</v>
      </c>
      <c r="L755" s="9">
        <v>10</v>
      </c>
      <c r="M755" s="9">
        <v>46</v>
      </c>
      <c r="N755" s="9">
        <f t="shared" si="63"/>
        <v>36</v>
      </c>
      <c r="O755" s="9"/>
      <c r="P755" s="9"/>
      <c r="Q755" s="25"/>
      <c r="R755" s="11">
        <v>0</v>
      </c>
      <c r="S755" s="1">
        <v>1.17</v>
      </c>
      <c r="T755" s="1">
        <f t="shared" si="64"/>
        <v>1.17</v>
      </c>
      <c r="U755" s="12">
        <v>6</v>
      </c>
      <c r="V755" s="13">
        <v>2.3944399999999999</v>
      </c>
      <c r="W755" s="14">
        <f t="shared" si="66"/>
        <v>9480.2584031999977</v>
      </c>
      <c r="X755" s="25"/>
      <c r="Y755" s="14">
        <f t="shared" si="68"/>
        <v>9480.2584031999977</v>
      </c>
      <c r="Z755" s="3"/>
      <c r="AA755" s="3"/>
      <c r="AB755" s="5"/>
      <c r="AC755" s="1"/>
      <c r="AD755" s="28"/>
      <c r="AE755" s="1"/>
      <c r="AF755" s="3"/>
      <c r="AG755" s="7"/>
      <c r="AH755" s="7"/>
      <c r="AI755" s="3" t="s">
        <v>107</v>
      </c>
      <c r="AJ755" s="7" t="s">
        <v>61</v>
      </c>
      <c r="AK755" s="3"/>
      <c r="AL755" cm="1">
        <f t="array" ref="AL755">IF(getColor(V755) = 16777215, 0, 1)</f>
        <v>0</v>
      </c>
    </row>
    <row r="756" spans="1:38">
      <c r="A756" s="1">
        <v>755</v>
      </c>
      <c r="B756" s="3" t="s">
        <v>27</v>
      </c>
      <c r="C756" s="7" t="s">
        <v>367</v>
      </c>
      <c r="D756" s="7" t="s">
        <v>206</v>
      </c>
      <c r="E756" s="8">
        <v>54.937466666666673</v>
      </c>
      <c r="F756" s="8">
        <v>-132.9333</v>
      </c>
      <c r="G756" s="9" t="s">
        <v>30</v>
      </c>
      <c r="H756" s="3" t="s">
        <v>31</v>
      </c>
      <c r="I756" s="3" t="s">
        <v>31</v>
      </c>
      <c r="J756" s="3" t="s">
        <v>31</v>
      </c>
      <c r="K756" s="7" t="s">
        <v>44</v>
      </c>
      <c r="L756" s="9">
        <v>46</v>
      </c>
      <c r="M756" s="9">
        <v>76</v>
      </c>
      <c r="N756" s="9">
        <f t="shared" si="63"/>
        <v>30</v>
      </c>
      <c r="O756" s="9"/>
      <c r="P756" s="9"/>
      <c r="Q756" s="25"/>
      <c r="R756" s="11">
        <v>0</v>
      </c>
      <c r="S756" s="1">
        <v>1.74</v>
      </c>
      <c r="T756" s="1">
        <f t="shared" si="64"/>
        <v>1.74</v>
      </c>
      <c r="U756" s="12">
        <v>3</v>
      </c>
      <c r="V756" s="13">
        <v>3.1764950000000001</v>
      </c>
      <c r="W756" s="14">
        <f t="shared" si="66"/>
        <v>16083.864782999999</v>
      </c>
      <c r="X756" s="25"/>
      <c r="Y756" s="14">
        <f t="shared" si="68"/>
        <v>16083.864782999999</v>
      </c>
      <c r="Z756" s="3"/>
      <c r="AA756" s="3"/>
      <c r="AB756" s="5"/>
      <c r="AC756" s="1"/>
      <c r="AD756" s="28"/>
      <c r="AE756" s="1"/>
      <c r="AF756" s="3"/>
      <c r="AG756" s="7"/>
      <c r="AH756" s="7"/>
      <c r="AI756" s="3" t="s">
        <v>107</v>
      </c>
      <c r="AJ756" s="7" t="s">
        <v>44</v>
      </c>
      <c r="AK756" s="3"/>
      <c r="AL756" cm="1">
        <f t="array" ref="AL756">IF(getColor(V756) = 16777215, 0, 1)</f>
        <v>0</v>
      </c>
    </row>
    <row r="757" spans="1:38">
      <c r="A757" s="1">
        <v>756</v>
      </c>
      <c r="B757" s="3" t="s">
        <v>27</v>
      </c>
      <c r="C757" s="7" t="s">
        <v>367</v>
      </c>
      <c r="D757" s="7" t="s">
        <v>206</v>
      </c>
      <c r="E757" s="8">
        <v>54.937466666666673</v>
      </c>
      <c r="F757" s="8">
        <v>-132.9333</v>
      </c>
      <c r="G757" s="9" t="s">
        <v>30</v>
      </c>
      <c r="H757" s="3" t="s">
        <v>31</v>
      </c>
      <c r="I757" s="3" t="s">
        <v>31</v>
      </c>
      <c r="J757" s="3" t="s">
        <v>31</v>
      </c>
      <c r="K757" s="7" t="s">
        <v>253</v>
      </c>
      <c r="L757" s="9">
        <v>76</v>
      </c>
      <c r="M757" s="9">
        <v>76</v>
      </c>
      <c r="N757" s="9">
        <f t="shared" si="63"/>
        <v>0</v>
      </c>
      <c r="O757" s="9"/>
      <c r="P757" s="9"/>
      <c r="Q757" s="25"/>
      <c r="R757" s="11">
        <v>0</v>
      </c>
      <c r="S757" s="1">
        <v>0</v>
      </c>
      <c r="T757" s="1">
        <f t="shared" si="64"/>
        <v>0</v>
      </c>
      <c r="U757" s="12"/>
      <c r="V757" s="35">
        <v>0</v>
      </c>
      <c r="W757" s="14">
        <f t="shared" si="66"/>
        <v>0</v>
      </c>
      <c r="X757" s="25"/>
      <c r="Y757" s="14">
        <f t="shared" si="68"/>
        <v>0</v>
      </c>
      <c r="Z757" s="3"/>
      <c r="AA757" s="3"/>
      <c r="AB757" s="5"/>
      <c r="AC757" s="1"/>
      <c r="AD757" s="28"/>
      <c r="AE757" s="1"/>
      <c r="AF757" s="3"/>
      <c r="AG757" s="7"/>
      <c r="AH757" s="7"/>
      <c r="AI757" s="3" t="s">
        <v>107</v>
      </c>
      <c r="AJ757" s="7" t="s">
        <v>253</v>
      </c>
      <c r="AK757" s="3"/>
      <c r="AL757" cm="1">
        <f t="array" ref="AL757">IF(getColor(V757) = 16777215, 0, 1)</f>
        <v>1</v>
      </c>
    </row>
    <row r="758" spans="1:38">
      <c r="A758" s="1">
        <v>757</v>
      </c>
      <c r="B758" s="3" t="s">
        <v>27</v>
      </c>
      <c r="C758" s="7" t="s">
        <v>368</v>
      </c>
      <c r="D758" s="7" t="s">
        <v>197</v>
      </c>
      <c r="E758" s="8">
        <v>54.937466666666673</v>
      </c>
      <c r="F758" s="8">
        <v>-132.9333</v>
      </c>
      <c r="G758" s="9" t="s">
        <v>30</v>
      </c>
      <c r="H758" s="3" t="s">
        <v>31</v>
      </c>
      <c r="I758" s="3" t="s">
        <v>31</v>
      </c>
      <c r="J758" s="3" t="s">
        <v>31</v>
      </c>
      <c r="K758" s="7" t="s">
        <v>53</v>
      </c>
      <c r="L758" s="9">
        <v>8</v>
      </c>
      <c r="M758" s="9">
        <v>0</v>
      </c>
      <c r="N758" s="9">
        <f t="shared" si="63"/>
        <v>8</v>
      </c>
      <c r="O758" s="29">
        <f>M761</f>
        <v>76</v>
      </c>
      <c r="P758" s="29">
        <f>L758</f>
        <v>8</v>
      </c>
      <c r="Q758" s="29">
        <f>P758+O758</f>
        <v>84</v>
      </c>
      <c r="R758" s="11">
        <v>0</v>
      </c>
      <c r="S758" s="1">
        <v>0.11</v>
      </c>
      <c r="T758" s="1">
        <f t="shared" si="64"/>
        <v>0.11</v>
      </c>
      <c r="U758" s="12">
        <v>0</v>
      </c>
      <c r="V758" s="13">
        <v>30.425678999999999</v>
      </c>
      <c r="W758" s="14">
        <f t="shared" si="66"/>
        <v>2677.4597520000002</v>
      </c>
      <c r="X758" s="14">
        <f>SUM(W758:W761)</f>
        <v>25093.411953300005</v>
      </c>
      <c r="Y758" s="14">
        <f t="shared" si="68"/>
        <v>2677.4597520000002</v>
      </c>
      <c r="Z758" s="15">
        <f>SUM(Y758:Y761)/10^6*10^4</f>
        <v>250.93411953300006</v>
      </c>
      <c r="AA758" s="16">
        <v>27.991720850549509</v>
      </c>
      <c r="AB758" s="5"/>
      <c r="AC758" s="1"/>
      <c r="AD758" s="28"/>
      <c r="AE758" s="1"/>
      <c r="AF758" s="3"/>
      <c r="AG758" s="7"/>
      <c r="AH758" s="7"/>
      <c r="AI758" s="3" t="s">
        <v>107</v>
      </c>
      <c r="AJ758" s="7" t="s">
        <v>53</v>
      </c>
      <c r="AK758" s="3"/>
      <c r="AL758" cm="1">
        <f t="array" ref="AL758">IF(getColor(V758) = 16777215, 0, 1)</f>
        <v>0</v>
      </c>
    </row>
    <row r="759" spans="1:38">
      <c r="A759" s="1">
        <v>758</v>
      </c>
      <c r="B759" s="3" t="s">
        <v>27</v>
      </c>
      <c r="C759" s="7" t="s">
        <v>368</v>
      </c>
      <c r="D759" s="7" t="s">
        <v>197</v>
      </c>
      <c r="E759" s="8">
        <v>54.937466666666673</v>
      </c>
      <c r="F759" s="8">
        <v>-132.9333</v>
      </c>
      <c r="G759" s="9" t="s">
        <v>30</v>
      </c>
      <c r="H759" s="3" t="s">
        <v>31</v>
      </c>
      <c r="I759" s="3" t="s">
        <v>31</v>
      </c>
      <c r="J759" s="3" t="s">
        <v>31</v>
      </c>
      <c r="K759" s="7" t="s">
        <v>68</v>
      </c>
      <c r="L759" s="9">
        <v>0</v>
      </c>
      <c r="M759" s="9">
        <v>13</v>
      </c>
      <c r="N759" s="9">
        <f t="shared" si="63"/>
        <v>13</v>
      </c>
      <c r="O759" s="9"/>
      <c r="P759" s="9"/>
      <c r="Q759" s="25"/>
      <c r="R759" s="11">
        <v>0</v>
      </c>
      <c r="S759" s="1">
        <v>0.86</v>
      </c>
      <c r="T759" s="1">
        <f t="shared" si="64"/>
        <v>0.86</v>
      </c>
      <c r="U759" s="12">
        <v>2</v>
      </c>
      <c r="V759" s="13">
        <v>2.8343789999999998</v>
      </c>
      <c r="W759" s="14">
        <f t="shared" si="66"/>
        <v>3105.4590075599999</v>
      </c>
      <c r="X759" s="25"/>
      <c r="Y759" s="14">
        <f t="shared" si="68"/>
        <v>3105.4590075599999</v>
      </c>
      <c r="Z759" s="3"/>
      <c r="AA759" s="3"/>
      <c r="AB759" s="5"/>
      <c r="AC759" s="5"/>
      <c r="AD759" s="28"/>
      <c r="AE759" s="28"/>
      <c r="AF759" s="3"/>
      <c r="AG759" s="7"/>
      <c r="AH759" s="7"/>
      <c r="AI759" s="3" t="s">
        <v>107</v>
      </c>
      <c r="AJ759" s="7" t="s">
        <v>68</v>
      </c>
      <c r="AK759" s="3"/>
      <c r="AL759" cm="1">
        <f t="array" ref="AL759">IF(getColor(V759) = 16777215, 0, 1)</f>
        <v>0</v>
      </c>
    </row>
    <row r="760" spans="1:38">
      <c r="A760" s="1">
        <v>759</v>
      </c>
      <c r="B760" s="3" t="s">
        <v>27</v>
      </c>
      <c r="C760" s="7" t="s">
        <v>368</v>
      </c>
      <c r="D760" s="7" t="s">
        <v>197</v>
      </c>
      <c r="E760" s="8">
        <v>54.937466666666673</v>
      </c>
      <c r="F760" s="8">
        <v>-132.9333</v>
      </c>
      <c r="G760" s="9" t="s">
        <v>30</v>
      </c>
      <c r="H760" s="3" t="s">
        <v>31</v>
      </c>
      <c r="I760" s="3" t="s">
        <v>31</v>
      </c>
      <c r="J760" s="3" t="s">
        <v>31</v>
      </c>
      <c r="K760" s="7" t="s">
        <v>79</v>
      </c>
      <c r="L760" s="9">
        <v>13</v>
      </c>
      <c r="M760" s="9">
        <v>51</v>
      </c>
      <c r="N760" s="9">
        <f t="shared" si="63"/>
        <v>38</v>
      </c>
      <c r="O760" s="9"/>
      <c r="P760" s="9"/>
      <c r="Q760" s="25"/>
      <c r="R760" s="11">
        <v>0</v>
      </c>
      <c r="S760" s="1">
        <v>1.71</v>
      </c>
      <c r="T760" s="1">
        <f t="shared" si="64"/>
        <v>1.71</v>
      </c>
      <c r="U760" s="12">
        <v>3</v>
      </c>
      <c r="V760" s="13">
        <v>2.2073040000000002</v>
      </c>
      <c r="W760" s="14">
        <f t="shared" si="66"/>
        <v>13912.769550240002</v>
      </c>
      <c r="X760" s="25"/>
      <c r="Y760" s="14">
        <f t="shared" si="68"/>
        <v>13912.769550240002</v>
      </c>
      <c r="Z760" s="3"/>
      <c r="AA760" s="3"/>
      <c r="AB760" s="5"/>
      <c r="AC760" s="1"/>
      <c r="AD760" s="28"/>
      <c r="AE760" s="28"/>
      <c r="AF760" s="3"/>
      <c r="AG760" s="7"/>
      <c r="AH760" s="7"/>
      <c r="AI760" s="3" t="s">
        <v>107</v>
      </c>
      <c r="AJ760" s="7" t="s">
        <v>79</v>
      </c>
      <c r="AK760" s="3"/>
      <c r="AL760" cm="1">
        <f t="array" ref="AL760">IF(getColor(V760) = 16777215, 0, 1)</f>
        <v>0</v>
      </c>
    </row>
    <row r="761" spans="1:38">
      <c r="A761" s="1">
        <v>760</v>
      </c>
      <c r="B761" s="3" t="s">
        <v>27</v>
      </c>
      <c r="C761" s="7" t="s">
        <v>368</v>
      </c>
      <c r="D761" s="7" t="s">
        <v>197</v>
      </c>
      <c r="E761" s="8">
        <v>54.937466666666673</v>
      </c>
      <c r="F761" s="8">
        <v>-132.9333</v>
      </c>
      <c r="G761" s="9" t="s">
        <v>30</v>
      </c>
      <c r="H761" s="3" t="s">
        <v>31</v>
      </c>
      <c r="I761" s="3" t="s">
        <v>31</v>
      </c>
      <c r="J761" s="3" t="s">
        <v>31</v>
      </c>
      <c r="K761" s="7" t="s">
        <v>44</v>
      </c>
      <c r="L761" s="9">
        <v>51</v>
      </c>
      <c r="M761" s="9">
        <v>76</v>
      </c>
      <c r="N761" s="9">
        <f t="shared" si="63"/>
        <v>25</v>
      </c>
      <c r="O761" s="9"/>
      <c r="P761" s="9"/>
      <c r="Q761" s="25"/>
      <c r="R761" s="11">
        <v>0</v>
      </c>
      <c r="S761" s="1">
        <v>1.74</v>
      </c>
      <c r="T761" s="1">
        <f t="shared" si="64"/>
        <v>1.74</v>
      </c>
      <c r="U761" s="12">
        <v>3</v>
      </c>
      <c r="V761" s="13">
        <v>1.2792329999999998</v>
      </c>
      <c r="W761" s="14">
        <f t="shared" si="66"/>
        <v>5397.7236434999995</v>
      </c>
      <c r="X761" s="25"/>
      <c r="Y761" s="14">
        <f t="shared" si="68"/>
        <v>5397.7236434999995</v>
      </c>
      <c r="Z761" s="3"/>
      <c r="AA761" s="3"/>
      <c r="AB761" s="5"/>
      <c r="AC761" s="1"/>
      <c r="AD761" s="28"/>
      <c r="AE761" s="28"/>
      <c r="AF761" s="3"/>
      <c r="AG761" s="7"/>
      <c r="AH761" s="7"/>
      <c r="AI761" s="3" t="s">
        <v>107</v>
      </c>
      <c r="AJ761" s="7" t="s">
        <v>44</v>
      </c>
      <c r="AK761" s="3"/>
      <c r="AL761" cm="1">
        <f t="array" ref="AL761">IF(getColor(V761) = 16777215, 0, 1)</f>
        <v>0</v>
      </c>
    </row>
    <row r="762" spans="1:38">
      <c r="A762" s="1">
        <v>761</v>
      </c>
      <c r="B762" s="3" t="s">
        <v>27</v>
      </c>
      <c r="C762" s="7" t="s">
        <v>369</v>
      </c>
      <c r="D762" s="7" t="s">
        <v>162</v>
      </c>
      <c r="E762" s="8">
        <v>54.937466666666673</v>
      </c>
      <c r="F762" s="8">
        <v>-132.9333</v>
      </c>
      <c r="G762" s="9" t="s">
        <v>30</v>
      </c>
      <c r="H762" s="3" t="s">
        <v>31</v>
      </c>
      <c r="I762" s="3" t="s">
        <v>31</v>
      </c>
      <c r="J762" s="3" t="s">
        <v>31</v>
      </c>
      <c r="K762" s="7" t="s">
        <v>53</v>
      </c>
      <c r="L762" s="9">
        <v>2</v>
      </c>
      <c r="M762" s="9">
        <v>0</v>
      </c>
      <c r="N762" s="9">
        <f t="shared" si="63"/>
        <v>2</v>
      </c>
      <c r="O762" s="29">
        <f>M765</f>
        <v>102</v>
      </c>
      <c r="P762" s="29">
        <f>L762</f>
        <v>2</v>
      </c>
      <c r="Q762" s="29">
        <f>P762+O762</f>
        <v>104</v>
      </c>
      <c r="R762" s="11">
        <v>0</v>
      </c>
      <c r="S762" s="1">
        <v>0.14000000000000001</v>
      </c>
      <c r="T762" s="1">
        <f t="shared" si="64"/>
        <v>0.14000000000000001</v>
      </c>
      <c r="U762" s="12">
        <v>0</v>
      </c>
      <c r="V762" s="13">
        <v>15.129385000000001</v>
      </c>
      <c r="W762" s="14">
        <f t="shared" si="66"/>
        <v>423.62278000000009</v>
      </c>
      <c r="X762" s="14">
        <f>SUM(W762:W765)</f>
        <v>36487.218030899996</v>
      </c>
      <c r="Y762" s="14">
        <f t="shared" si="68"/>
        <v>423.62278000000009</v>
      </c>
      <c r="Z762" s="15">
        <f>SUM(Y762:Y765)/10^6*10^4</f>
        <v>357.330528501</v>
      </c>
      <c r="AA762" s="16">
        <v>28.66897483360415</v>
      </c>
      <c r="AB762" s="5"/>
      <c r="AC762" s="1"/>
      <c r="AD762" s="28"/>
      <c r="AE762" s="28"/>
      <c r="AF762" s="3"/>
      <c r="AG762" s="7"/>
      <c r="AH762" s="7"/>
      <c r="AI762" s="3" t="s">
        <v>75</v>
      </c>
      <c r="AJ762" s="7" t="s">
        <v>53</v>
      </c>
      <c r="AK762" s="3"/>
      <c r="AL762" cm="1">
        <f t="array" ref="AL762">IF(getColor(V762) = 16777215, 0, 1)</f>
        <v>0</v>
      </c>
    </row>
    <row r="763" spans="1:38">
      <c r="A763" s="1">
        <v>762</v>
      </c>
      <c r="B763" s="3" t="s">
        <v>27</v>
      </c>
      <c r="C763" s="7" t="s">
        <v>369</v>
      </c>
      <c r="D763" s="7" t="s">
        <v>162</v>
      </c>
      <c r="E763" s="8">
        <v>54.937466666666673</v>
      </c>
      <c r="F763" s="8">
        <v>-132.9333</v>
      </c>
      <c r="G763" s="9" t="s">
        <v>30</v>
      </c>
      <c r="H763" s="3" t="s">
        <v>31</v>
      </c>
      <c r="I763" s="3" t="s">
        <v>31</v>
      </c>
      <c r="J763" s="3" t="s">
        <v>31</v>
      </c>
      <c r="K763" s="7" t="s">
        <v>101</v>
      </c>
      <c r="L763" s="9">
        <v>0</v>
      </c>
      <c r="M763" s="9">
        <v>13</v>
      </c>
      <c r="N763" s="9">
        <f t="shared" si="63"/>
        <v>13</v>
      </c>
      <c r="O763" s="9"/>
      <c r="P763" s="9"/>
      <c r="Q763" s="25"/>
      <c r="R763" s="11">
        <v>0</v>
      </c>
      <c r="S763" s="1">
        <v>1.19</v>
      </c>
      <c r="T763" s="1">
        <f t="shared" si="64"/>
        <v>1.19</v>
      </c>
      <c r="U763" s="12">
        <v>8</v>
      </c>
      <c r="V763" s="13">
        <v>3.6688999999999998</v>
      </c>
      <c r="W763" s="14">
        <f t="shared" si="66"/>
        <v>5221.7252360000002</v>
      </c>
      <c r="X763" s="25"/>
      <c r="Y763" s="14">
        <f t="shared" si="68"/>
        <v>5221.7252360000002</v>
      </c>
      <c r="Z763" s="3"/>
      <c r="AA763" s="3"/>
      <c r="AB763" s="5"/>
      <c r="AC763" s="5"/>
      <c r="AD763" s="28"/>
      <c r="AE763" s="28"/>
      <c r="AF763" s="3"/>
      <c r="AG763" s="7"/>
      <c r="AH763" s="7"/>
      <c r="AI763" s="3" t="s">
        <v>75</v>
      </c>
      <c r="AJ763" s="7" t="s">
        <v>102</v>
      </c>
      <c r="AK763" s="3"/>
      <c r="AL763" cm="1">
        <f t="array" ref="AL763">IF(getColor(V763) = 16777215, 0, 1)</f>
        <v>0</v>
      </c>
    </row>
    <row r="764" spans="1:38">
      <c r="A764" s="1">
        <v>763</v>
      </c>
      <c r="B764" s="3" t="s">
        <v>27</v>
      </c>
      <c r="C764" s="7" t="s">
        <v>369</v>
      </c>
      <c r="D764" s="7" t="s">
        <v>162</v>
      </c>
      <c r="E764" s="8">
        <v>54.937466666666673</v>
      </c>
      <c r="F764" s="8">
        <v>-132.9333</v>
      </c>
      <c r="G764" s="9" t="s">
        <v>30</v>
      </c>
      <c r="H764" s="3" t="s">
        <v>31</v>
      </c>
      <c r="I764" s="3" t="s">
        <v>31</v>
      </c>
      <c r="J764" s="3" t="s">
        <v>31</v>
      </c>
      <c r="K764" s="7" t="s">
        <v>103</v>
      </c>
      <c r="L764" s="9">
        <v>13</v>
      </c>
      <c r="M764" s="9">
        <v>46</v>
      </c>
      <c r="N764" s="9">
        <f t="shared" si="63"/>
        <v>33</v>
      </c>
      <c r="O764" s="9"/>
      <c r="P764" s="9"/>
      <c r="Q764" s="25"/>
      <c r="R764" s="11">
        <v>0</v>
      </c>
      <c r="S764" s="1">
        <v>1.19</v>
      </c>
      <c r="T764" s="1">
        <f t="shared" si="64"/>
        <v>1.19</v>
      </c>
      <c r="U764" s="12">
        <v>5</v>
      </c>
      <c r="V764" s="13">
        <v>2.6068500000000001</v>
      </c>
      <c r="W764" s="14">
        <f t="shared" si="66"/>
        <v>9725.2449525000011</v>
      </c>
      <c r="X764" s="25"/>
      <c r="Y764" s="14">
        <f t="shared" si="68"/>
        <v>9725.2449525000011</v>
      </c>
      <c r="Z764" s="3"/>
      <c r="AA764" s="3"/>
      <c r="AB764" s="5"/>
      <c r="AC764" s="1"/>
      <c r="AD764" s="28"/>
      <c r="AE764" s="28"/>
      <c r="AF764" s="3"/>
      <c r="AG764" s="7"/>
      <c r="AH764" s="7"/>
      <c r="AI764" s="3" t="s">
        <v>75</v>
      </c>
      <c r="AJ764" s="7" t="s">
        <v>104</v>
      </c>
      <c r="AK764" s="3"/>
      <c r="AL764" cm="1">
        <f t="array" ref="AL764">IF(getColor(V764) = 16777215, 0, 1)</f>
        <v>0</v>
      </c>
    </row>
    <row r="765" spans="1:38">
      <c r="A765" s="1">
        <v>764</v>
      </c>
      <c r="B765" s="3" t="s">
        <v>27</v>
      </c>
      <c r="C765" s="7" t="s">
        <v>369</v>
      </c>
      <c r="D765" s="7" t="s">
        <v>162</v>
      </c>
      <c r="E765" s="8">
        <v>54.937466666666673</v>
      </c>
      <c r="F765" s="8">
        <v>-132.9333</v>
      </c>
      <c r="G765" s="9" t="s">
        <v>30</v>
      </c>
      <c r="H765" s="3" t="s">
        <v>31</v>
      </c>
      <c r="I765" s="3" t="s">
        <v>31</v>
      </c>
      <c r="J765" s="3" t="s">
        <v>31</v>
      </c>
      <c r="K765" s="7" t="s">
        <v>44</v>
      </c>
      <c r="L765" s="9">
        <v>46</v>
      </c>
      <c r="M765" s="9">
        <v>102</v>
      </c>
      <c r="N765" s="9">
        <f t="shared" si="63"/>
        <v>56</v>
      </c>
      <c r="O765" s="9"/>
      <c r="P765" s="9"/>
      <c r="Q765" s="25"/>
      <c r="R765" s="11">
        <v>0</v>
      </c>
      <c r="S765" s="1">
        <v>1.91</v>
      </c>
      <c r="T765" s="1">
        <f t="shared" si="64"/>
        <v>1.91</v>
      </c>
      <c r="U765" s="12">
        <v>4</v>
      </c>
      <c r="V765" s="13">
        <v>2.0565150000000001</v>
      </c>
      <c r="W765" s="14">
        <f t="shared" si="66"/>
        <v>21116.625062399999</v>
      </c>
      <c r="X765" s="25"/>
      <c r="Y765" s="14">
        <f>IF(L765&gt;-100,W765-W765*(ABS(M765)-100)/(ABS(M765)-ABS(L765)),0)</f>
        <v>20362.4598816</v>
      </c>
      <c r="Z765" s="3"/>
      <c r="AA765" s="3"/>
      <c r="AB765" s="5"/>
      <c r="AC765" s="1"/>
      <c r="AD765" s="28"/>
      <c r="AE765" s="28"/>
      <c r="AF765" s="3"/>
      <c r="AG765" s="7"/>
      <c r="AH765" s="7"/>
      <c r="AI765" s="3" t="s">
        <v>75</v>
      </c>
      <c r="AJ765" s="7" t="s">
        <v>44</v>
      </c>
      <c r="AK765" s="3"/>
      <c r="AL765" cm="1">
        <f t="array" ref="AL765">IF(getColor(V765) = 16777215, 0, 1)</f>
        <v>0</v>
      </c>
    </row>
    <row r="766" spans="1:38">
      <c r="A766" s="1">
        <v>765</v>
      </c>
      <c r="B766" s="3" t="s">
        <v>27</v>
      </c>
      <c r="C766" s="7" t="s">
        <v>370</v>
      </c>
      <c r="D766" s="7" t="s">
        <v>206</v>
      </c>
      <c r="E766" s="8">
        <v>54.93718888888889</v>
      </c>
      <c r="F766" s="8">
        <v>-132.9333</v>
      </c>
      <c r="G766" s="9" t="s">
        <v>30</v>
      </c>
      <c r="H766" s="3" t="s">
        <v>31</v>
      </c>
      <c r="I766" s="3" t="s">
        <v>31</v>
      </c>
      <c r="J766" s="3" t="s">
        <v>31</v>
      </c>
      <c r="K766" s="7" t="s">
        <v>53</v>
      </c>
      <c r="L766" s="9">
        <v>5</v>
      </c>
      <c r="M766" s="9">
        <v>0</v>
      </c>
      <c r="N766" s="9">
        <f t="shared" si="63"/>
        <v>5</v>
      </c>
      <c r="O766" s="29">
        <f>M771</f>
        <v>102</v>
      </c>
      <c r="P766" s="29">
        <f>L766</f>
        <v>5</v>
      </c>
      <c r="Q766" s="29">
        <f>P766+O766</f>
        <v>107</v>
      </c>
      <c r="R766" s="11">
        <v>0</v>
      </c>
      <c r="S766" s="1">
        <v>0.11</v>
      </c>
      <c r="T766" s="1">
        <f t="shared" si="64"/>
        <v>0.11</v>
      </c>
      <c r="U766" s="12">
        <v>0</v>
      </c>
      <c r="V766" s="13">
        <v>29.582920000000001</v>
      </c>
      <c r="W766" s="14">
        <f t="shared" si="66"/>
        <v>1627.0605999999998</v>
      </c>
      <c r="X766" s="14">
        <f>SUM(W766:W771)</f>
        <v>27281.696997450003</v>
      </c>
      <c r="Y766" s="14">
        <f>T766*V766/100*N766*100*100*((100-U766)/100)</f>
        <v>1627.0605999999998</v>
      </c>
      <c r="Z766" s="15">
        <f>SUM(Y766:Y771)/10^6*10^4</f>
        <v>270.12901797450002</v>
      </c>
      <c r="AA766" s="16">
        <v>33.211947588503257</v>
      </c>
      <c r="AB766" s="5"/>
      <c r="AC766" s="1"/>
      <c r="AD766" s="28"/>
      <c r="AE766" s="28"/>
      <c r="AF766" s="3"/>
      <c r="AG766" s="7"/>
      <c r="AH766" s="7"/>
      <c r="AI766" s="3" t="s">
        <v>107</v>
      </c>
      <c r="AJ766" s="7" t="s">
        <v>53</v>
      </c>
      <c r="AK766" s="3"/>
      <c r="AL766" cm="1">
        <f t="array" ref="AL766">IF(getColor(V766) = 16777215, 0, 1)</f>
        <v>0</v>
      </c>
    </row>
    <row r="767" spans="1:38">
      <c r="A767" s="1">
        <v>766</v>
      </c>
      <c r="B767" s="3" t="s">
        <v>27</v>
      </c>
      <c r="C767" s="7" t="s">
        <v>370</v>
      </c>
      <c r="D767" s="7" t="s">
        <v>206</v>
      </c>
      <c r="E767" s="8">
        <v>54.93718888888889</v>
      </c>
      <c r="F767" s="8">
        <v>-132.9333</v>
      </c>
      <c r="G767" s="9" t="s">
        <v>30</v>
      </c>
      <c r="H767" s="3" t="s">
        <v>31</v>
      </c>
      <c r="I767" s="3" t="s">
        <v>31</v>
      </c>
      <c r="J767" s="3" t="s">
        <v>31</v>
      </c>
      <c r="K767" s="7" t="s">
        <v>77</v>
      </c>
      <c r="L767" s="9">
        <v>0</v>
      </c>
      <c r="M767" s="9">
        <v>20</v>
      </c>
      <c r="N767" s="9">
        <f t="shared" si="63"/>
        <v>20</v>
      </c>
      <c r="O767" s="9"/>
      <c r="P767" s="9"/>
      <c r="Q767" s="25"/>
      <c r="R767" s="11">
        <v>0</v>
      </c>
      <c r="S767" s="1">
        <v>0.86</v>
      </c>
      <c r="T767" s="1">
        <f t="shared" si="64"/>
        <v>0.86</v>
      </c>
      <c r="U767" s="12">
        <v>3</v>
      </c>
      <c r="V767" s="13">
        <v>4.0164800000000005</v>
      </c>
      <c r="W767" s="14">
        <f t="shared" si="66"/>
        <v>6701.0952319999997</v>
      </c>
      <c r="X767" s="25"/>
      <c r="Y767" s="14">
        <f>T767*V767/100*N767*100*100*((100-U767)/100)</f>
        <v>6701.0952319999997</v>
      </c>
      <c r="Z767" s="3"/>
      <c r="AA767" s="3"/>
      <c r="AB767" s="5"/>
      <c r="AC767" s="5"/>
      <c r="AD767" s="28"/>
      <c r="AE767" s="28"/>
      <c r="AF767" s="3"/>
      <c r="AG767" s="7"/>
      <c r="AH767" s="7"/>
      <c r="AI767" s="3" t="s">
        <v>107</v>
      </c>
      <c r="AJ767" s="7" t="s">
        <v>78</v>
      </c>
      <c r="AK767" s="3"/>
      <c r="AL767" cm="1">
        <f t="array" ref="AL767">IF(getColor(V767) = 16777215, 0, 1)</f>
        <v>0</v>
      </c>
    </row>
    <row r="768" spans="1:38">
      <c r="A768" s="1">
        <v>767</v>
      </c>
      <c r="B768" s="3" t="s">
        <v>27</v>
      </c>
      <c r="C768" s="7" t="s">
        <v>370</v>
      </c>
      <c r="D768" s="7" t="s">
        <v>206</v>
      </c>
      <c r="E768" s="8">
        <v>54.93718888888889</v>
      </c>
      <c r="F768" s="8">
        <v>-132.9333</v>
      </c>
      <c r="G768" s="9" t="s">
        <v>30</v>
      </c>
      <c r="H768" s="3" t="s">
        <v>31</v>
      </c>
      <c r="I768" s="3" t="s">
        <v>31</v>
      </c>
      <c r="J768" s="3" t="s">
        <v>31</v>
      </c>
      <c r="K768" s="7" t="s">
        <v>41</v>
      </c>
      <c r="L768" s="9">
        <v>20</v>
      </c>
      <c r="M768" s="9">
        <v>53</v>
      </c>
      <c r="N768" s="9">
        <f t="shared" si="63"/>
        <v>33</v>
      </c>
      <c r="O768" s="9"/>
      <c r="P768" s="9"/>
      <c r="Q768" s="25"/>
      <c r="R768" s="11">
        <v>0</v>
      </c>
      <c r="S768" s="1">
        <v>1.17</v>
      </c>
      <c r="T768" s="1">
        <f t="shared" si="64"/>
        <v>1.17</v>
      </c>
      <c r="U768" s="12">
        <v>22</v>
      </c>
      <c r="V768" s="13">
        <v>2.8096050000000004</v>
      </c>
      <c r="W768" s="14">
        <f t="shared" si="66"/>
        <v>8461.3502259000015</v>
      </c>
      <c r="X768" s="25"/>
      <c r="Y768" s="14">
        <f>T768*V768/100*N768*100*100*((100-U768)/100)</f>
        <v>8461.3502259000015</v>
      </c>
      <c r="Z768" s="3"/>
      <c r="AA768" s="3"/>
      <c r="AB768" s="5"/>
      <c r="AC768" s="1"/>
      <c r="AD768" s="28"/>
      <c r="AE768" s="28"/>
      <c r="AF768" s="3"/>
      <c r="AG768" s="7"/>
      <c r="AH768" s="7"/>
      <c r="AI768" s="3" t="s">
        <v>107</v>
      </c>
      <c r="AJ768" s="7" t="s">
        <v>61</v>
      </c>
      <c r="AK768" s="3"/>
      <c r="AL768" cm="1">
        <f t="array" ref="AL768">IF(getColor(V768) = 16777215, 0, 1)</f>
        <v>0</v>
      </c>
    </row>
    <row r="769" spans="1:38">
      <c r="A769" s="1">
        <v>768</v>
      </c>
      <c r="B769" s="3" t="s">
        <v>27</v>
      </c>
      <c r="C769" s="7" t="s">
        <v>370</v>
      </c>
      <c r="D769" s="7" t="s">
        <v>206</v>
      </c>
      <c r="E769" s="8">
        <v>54.93718888888889</v>
      </c>
      <c r="F769" s="8">
        <v>-132.9333</v>
      </c>
      <c r="G769" s="9" t="s">
        <v>30</v>
      </c>
      <c r="H769" s="3" t="s">
        <v>31</v>
      </c>
      <c r="I769" s="3" t="s">
        <v>31</v>
      </c>
      <c r="J769" s="3" t="s">
        <v>31</v>
      </c>
      <c r="K769" s="7" t="s">
        <v>79</v>
      </c>
      <c r="L769" s="9">
        <v>53</v>
      </c>
      <c r="M769" s="9">
        <v>76</v>
      </c>
      <c r="N769" s="9">
        <f t="shared" si="63"/>
        <v>23</v>
      </c>
      <c r="O769" s="9"/>
      <c r="P769" s="9"/>
      <c r="Q769" s="25"/>
      <c r="R769" s="11">
        <v>0</v>
      </c>
      <c r="S769" s="1">
        <v>1.71</v>
      </c>
      <c r="T769" s="1">
        <f t="shared" si="64"/>
        <v>1.71</v>
      </c>
      <c r="U769" s="12">
        <v>27</v>
      </c>
      <c r="V769" s="13">
        <v>2.1144449999999999</v>
      </c>
      <c r="W769" s="14">
        <f t="shared" si="66"/>
        <v>6070.76189505</v>
      </c>
      <c r="X769" s="25"/>
      <c r="Y769" s="14">
        <f>T769*V769/100*N769*100*100*((100-U769)/100)</f>
        <v>6070.76189505</v>
      </c>
      <c r="Z769" s="3"/>
      <c r="AA769" s="3"/>
      <c r="AB769" s="5"/>
      <c r="AC769" s="1"/>
      <c r="AD769" s="28"/>
      <c r="AE769" s="28"/>
      <c r="AF769" s="3"/>
      <c r="AG769" s="7"/>
      <c r="AH769" s="7"/>
      <c r="AI769" s="3" t="s">
        <v>107</v>
      </c>
      <c r="AJ769" s="7" t="s">
        <v>79</v>
      </c>
      <c r="AK769" s="3"/>
      <c r="AL769" cm="1">
        <f t="array" ref="AL769">IF(getColor(V769) = 16777215, 0, 1)</f>
        <v>0</v>
      </c>
    </row>
    <row r="770" spans="1:38">
      <c r="A770" s="1">
        <v>769</v>
      </c>
      <c r="B770" s="3" t="s">
        <v>27</v>
      </c>
      <c r="C770" s="7" t="s">
        <v>370</v>
      </c>
      <c r="D770" s="7" t="s">
        <v>206</v>
      </c>
      <c r="E770" s="8">
        <v>54.93718888888889</v>
      </c>
      <c r="F770" s="8">
        <v>-132.9333</v>
      </c>
      <c r="G770" s="9" t="s">
        <v>30</v>
      </c>
      <c r="H770" s="3" t="s">
        <v>31</v>
      </c>
      <c r="I770" s="3" t="s">
        <v>31</v>
      </c>
      <c r="J770" s="3" t="s">
        <v>31</v>
      </c>
      <c r="K770" s="7" t="s">
        <v>80</v>
      </c>
      <c r="L770" s="9">
        <v>76</v>
      </c>
      <c r="M770" s="9">
        <v>89</v>
      </c>
      <c r="N770" s="9">
        <f t="shared" ref="N770:N778" si="69">ABS(M770-L770)</f>
        <v>13</v>
      </c>
      <c r="O770" s="9"/>
      <c r="P770" s="9"/>
      <c r="Q770" s="25"/>
      <c r="R770" s="11">
        <v>0</v>
      </c>
      <c r="S770" s="1">
        <v>1.74</v>
      </c>
      <c r="T770" s="1">
        <f t="shared" ref="T770:T778" si="70">IF(R770=0,S770,R770)</f>
        <v>1.74</v>
      </c>
      <c r="U770" s="12">
        <v>21</v>
      </c>
      <c r="V770" s="13">
        <v>1.4965250000000001</v>
      </c>
      <c r="W770" s="14">
        <f t="shared" si="66"/>
        <v>2674.2602445000002</v>
      </c>
      <c r="X770" s="25"/>
      <c r="Y770" s="14">
        <f>T770*V770/100*N770*100*100*((100-U770)/100)</f>
        <v>2674.2602445000002</v>
      </c>
      <c r="Z770" s="3"/>
      <c r="AA770" s="3"/>
      <c r="AB770" s="5"/>
      <c r="AC770" s="1"/>
      <c r="AD770" s="28"/>
      <c r="AE770" s="28"/>
      <c r="AF770" s="3"/>
      <c r="AG770" s="7"/>
      <c r="AH770" s="7"/>
      <c r="AI770" s="3" t="s">
        <v>107</v>
      </c>
      <c r="AJ770" s="7" t="s">
        <v>80</v>
      </c>
      <c r="AK770" s="3"/>
      <c r="AL770" cm="1">
        <f t="array" ref="AL770">IF(getColor(V770) = 16777215, 0, 1)</f>
        <v>0</v>
      </c>
    </row>
    <row r="771" spans="1:38">
      <c r="A771" s="1">
        <v>770</v>
      </c>
      <c r="B771" s="3" t="s">
        <v>27</v>
      </c>
      <c r="C771" s="7" t="s">
        <v>370</v>
      </c>
      <c r="D771" s="7" t="s">
        <v>206</v>
      </c>
      <c r="E771" s="8">
        <v>54.93718888888889</v>
      </c>
      <c r="F771" s="8">
        <v>-132.9333</v>
      </c>
      <c r="G771" s="9" t="s">
        <v>30</v>
      </c>
      <c r="H771" s="3" t="s">
        <v>31</v>
      </c>
      <c r="I771" s="3" t="s">
        <v>31</v>
      </c>
      <c r="J771" s="3" t="s">
        <v>31</v>
      </c>
      <c r="K771" s="7" t="s">
        <v>81</v>
      </c>
      <c r="L771" s="9">
        <v>89</v>
      </c>
      <c r="M771" s="9">
        <v>102</v>
      </c>
      <c r="N771" s="9">
        <f t="shared" si="69"/>
        <v>13</v>
      </c>
      <c r="O771" s="9"/>
      <c r="P771" s="9"/>
      <c r="Q771" s="25"/>
      <c r="R771" s="11">
        <v>0</v>
      </c>
      <c r="S771" s="1">
        <v>1.74</v>
      </c>
      <c r="T771" s="1">
        <f t="shared" si="70"/>
        <v>1.74</v>
      </c>
      <c r="U771" s="12">
        <v>20</v>
      </c>
      <c r="V771" s="13">
        <v>0.96550000000000002</v>
      </c>
      <c r="W771" s="14">
        <f t="shared" ref="W771:W778" si="71">T771*V771/100*N771*100*100*((100-U771)/100)</f>
        <v>1747.1688000000004</v>
      </c>
      <c r="X771" s="25"/>
      <c r="Y771" s="14">
        <f>IF(L771&gt;-100,W771-W771*(ABS(M771)-100)/(ABS(M771)-ABS(L771)),0)</f>
        <v>1478.3736000000004</v>
      </c>
      <c r="Z771" s="3"/>
      <c r="AA771" s="3"/>
      <c r="AB771" s="5"/>
      <c r="AC771" s="1"/>
      <c r="AD771" s="28"/>
      <c r="AE771" s="28"/>
      <c r="AF771" s="3"/>
      <c r="AG771" s="7"/>
      <c r="AH771" s="7"/>
      <c r="AI771" s="3" t="s">
        <v>107</v>
      </c>
      <c r="AJ771" s="7" t="s">
        <v>81</v>
      </c>
      <c r="AK771" s="3"/>
      <c r="AL771" cm="1">
        <f t="array" ref="AL771">IF(getColor(V771) = 16777215, 0, 1)</f>
        <v>0</v>
      </c>
    </row>
    <row r="772" spans="1:38">
      <c r="A772" s="1">
        <v>771</v>
      </c>
      <c r="B772" s="3" t="s">
        <v>27</v>
      </c>
      <c r="C772" s="7" t="s">
        <v>371</v>
      </c>
      <c r="D772" s="7" t="s">
        <v>206</v>
      </c>
      <c r="E772" s="8">
        <v>54.93718888888889</v>
      </c>
      <c r="F772" s="8">
        <v>-132.9333</v>
      </c>
      <c r="G772" s="9" t="s">
        <v>30</v>
      </c>
      <c r="H772" s="3" t="s">
        <v>31</v>
      </c>
      <c r="I772" s="3" t="s">
        <v>31</v>
      </c>
      <c r="J772" s="3" t="s">
        <v>31</v>
      </c>
      <c r="K772" s="7" t="s">
        <v>53</v>
      </c>
      <c r="L772" s="9">
        <v>8</v>
      </c>
      <c r="M772" s="9">
        <v>0</v>
      </c>
      <c r="N772" s="9">
        <f t="shared" si="69"/>
        <v>8</v>
      </c>
      <c r="O772" s="29">
        <f>M775</f>
        <v>89</v>
      </c>
      <c r="P772" s="29">
        <f>L772</f>
        <v>8</v>
      </c>
      <c r="Q772" s="29">
        <f>P772+O772</f>
        <v>97</v>
      </c>
      <c r="R772" s="11">
        <v>0</v>
      </c>
      <c r="S772" s="1">
        <v>0.11</v>
      </c>
      <c r="T772" s="1">
        <f t="shared" si="70"/>
        <v>0.11</v>
      </c>
      <c r="U772" s="12">
        <v>0</v>
      </c>
      <c r="V772" s="13">
        <v>16.481085</v>
      </c>
      <c r="W772" s="14">
        <f t="shared" si="71"/>
        <v>1450.33548</v>
      </c>
      <c r="X772" s="14">
        <f>SUM(W772:W775)</f>
        <v>22574.172054999999</v>
      </c>
      <c r="Y772" s="14">
        <f t="shared" ref="Y772:Y777" si="72">T772*V772/100*N772*100*100*((100-U772)/100)</f>
        <v>1450.33548</v>
      </c>
      <c r="Z772" s="15">
        <f>SUM(Y772:Y775)/10^6*10^4</f>
        <v>225.74172054999997</v>
      </c>
      <c r="AA772" s="16">
        <v>32.106960154281907</v>
      </c>
      <c r="AB772" s="5"/>
      <c r="AC772" s="1"/>
      <c r="AD772" s="28"/>
      <c r="AE772" s="28"/>
      <c r="AF772" s="3"/>
      <c r="AG772" s="7"/>
      <c r="AH772" s="7"/>
      <c r="AI772" s="3" t="s">
        <v>107</v>
      </c>
      <c r="AJ772" s="7" t="s">
        <v>53</v>
      </c>
      <c r="AK772" s="3"/>
      <c r="AL772" cm="1">
        <f t="array" ref="AL772">IF(getColor(V772) = 16777215, 0, 1)</f>
        <v>0</v>
      </c>
    </row>
    <row r="773" spans="1:38">
      <c r="A773" s="1">
        <v>772</v>
      </c>
      <c r="B773" s="3" t="s">
        <v>27</v>
      </c>
      <c r="C773" s="7" t="s">
        <v>371</v>
      </c>
      <c r="D773" s="7" t="s">
        <v>206</v>
      </c>
      <c r="E773" s="8">
        <v>54.93718888888889</v>
      </c>
      <c r="F773" s="8">
        <v>-132.9333</v>
      </c>
      <c r="G773" s="9" t="s">
        <v>30</v>
      </c>
      <c r="H773" s="3" t="s">
        <v>31</v>
      </c>
      <c r="I773" s="3" t="s">
        <v>31</v>
      </c>
      <c r="J773" s="3" t="s">
        <v>31</v>
      </c>
      <c r="K773" s="7" t="s">
        <v>101</v>
      </c>
      <c r="L773" s="9">
        <v>0</v>
      </c>
      <c r="M773" s="9">
        <v>20</v>
      </c>
      <c r="N773" s="9">
        <f t="shared" si="69"/>
        <v>20</v>
      </c>
      <c r="O773" s="9"/>
      <c r="P773" s="9"/>
      <c r="Q773" s="25"/>
      <c r="R773" s="11">
        <v>0</v>
      </c>
      <c r="S773" s="1">
        <v>0.86</v>
      </c>
      <c r="T773" s="1">
        <f t="shared" si="70"/>
        <v>0.86</v>
      </c>
      <c r="U773" s="12">
        <v>11</v>
      </c>
      <c r="V773" s="13">
        <v>3.7557950000000004</v>
      </c>
      <c r="W773" s="14">
        <f t="shared" si="71"/>
        <v>5749.3709860000008</v>
      </c>
      <c r="X773" s="25"/>
      <c r="Y773" s="14">
        <f t="shared" si="72"/>
        <v>5749.3709860000008</v>
      </c>
      <c r="Z773" s="3"/>
      <c r="AA773" s="3"/>
      <c r="AB773" s="5"/>
      <c r="AC773" s="5"/>
      <c r="AD773" s="28"/>
      <c r="AE773" s="28"/>
      <c r="AF773" s="3"/>
      <c r="AG773" s="7"/>
      <c r="AH773" s="7"/>
      <c r="AI773" s="3" t="s">
        <v>107</v>
      </c>
      <c r="AJ773" s="7" t="s">
        <v>102</v>
      </c>
      <c r="AK773" s="3"/>
      <c r="AL773" cm="1">
        <f t="array" ref="AL773">IF(getColor(V773) = 16777215, 0, 1)</f>
        <v>0</v>
      </c>
    </row>
    <row r="774" spans="1:38">
      <c r="A774" s="1">
        <v>773</v>
      </c>
      <c r="B774" s="3" t="s">
        <v>27</v>
      </c>
      <c r="C774" s="7" t="s">
        <v>371</v>
      </c>
      <c r="D774" s="7" t="s">
        <v>206</v>
      </c>
      <c r="E774" s="8">
        <v>54.93718888888889</v>
      </c>
      <c r="F774" s="8">
        <v>-132.9333</v>
      </c>
      <c r="G774" s="9" t="s">
        <v>30</v>
      </c>
      <c r="H774" s="3" t="s">
        <v>31</v>
      </c>
      <c r="I774" s="3" t="s">
        <v>31</v>
      </c>
      <c r="J774" s="3" t="s">
        <v>31</v>
      </c>
      <c r="K774" s="7" t="s">
        <v>103</v>
      </c>
      <c r="L774" s="9">
        <v>20</v>
      </c>
      <c r="M774" s="9">
        <v>48</v>
      </c>
      <c r="N774" s="9">
        <f t="shared" si="69"/>
        <v>28</v>
      </c>
      <c r="O774" s="9"/>
      <c r="P774" s="9"/>
      <c r="Q774" s="25"/>
      <c r="R774" s="11">
        <v>0</v>
      </c>
      <c r="S774" s="1">
        <v>0.86</v>
      </c>
      <c r="T774" s="1">
        <f t="shared" si="70"/>
        <v>0.86</v>
      </c>
      <c r="U774" s="12">
        <v>11</v>
      </c>
      <c r="V774" s="13">
        <v>2.6068500000000001</v>
      </c>
      <c r="W774" s="14">
        <f t="shared" si="71"/>
        <v>5586.7923719999999</v>
      </c>
      <c r="X774" s="25"/>
      <c r="Y774" s="14">
        <f t="shared" si="72"/>
        <v>5586.7923719999999</v>
      </c>
      <c r="Z774" s="3"/>
      <c r="AA774" s="3"/>
      <c r="AB774" s="5"/>
      <c r="AC774" s="1"/>
      <c r="AD774" s="28"/>
      <c r="AE774" s="28"/>
      <c r="AF774" s="3"/>
      <c r="AG774" s="7"/>
      <c r="AH774" s="7"/>
      <c r="AI774" s="3" t="s">
        <v>107</v>
      </c>
      <c r="AJ774" s="7" t="s">
        <v>104</v>
      </c>
      <c r="AK774" s="3"/>
      <c r="AL774" cm="1">
        <f t="array" ref="AL774">IF(getColor(V774) = 16777215, 0, 1)</f>
        <v>0</v>
      </c>
    </row>
    <row r="775" spans="1:38">
      <c r="A775" s="1">
        <v>774</v>
      </c>
      <c r="B775" s="3" t="s">
        <v>27</v>
      </c>
      <c r="C775" s="7" t="s">
        <v>371</v>
      </c>
      <c r="D775" s="7" t="s">
        <v>206</v>
      </c>
      <c r="E775" s="8">
        <v>54.93718888888889</v>
      </c>
      <c r="F775" s="8">
        <v>-132.9333</v>
      </c>
      <c r="G775" s="9" t="s">
        <v>30</v>
      </c>
      <c r="H775" s="3" t="s">
        <v>31</v>
      </c>
      <c r="I775" s="3" t="s">
        <v>31</v>
      </c>
      <c r="J775" s="3" t="s">
        <v>31</v>
      </c>
      <c r="K775" s="7" t="s">
        <v>44</v>
      </c>
      <c r="L775" s="9">
        <v>48</v>
      </c>
      <c r="M775" s="9">
        <v>89</v>
      </c>
      <c r="N775" s="9">
        <f t="shared" si="69"/>
        <v>41</v>
      </c>
      <c r="O775" s="9"/>
      <c r="P775" s="9"/>
      <c r="Q775" s="25"/>
      <c r="R775" s="11">
        <v>0</v>
      </c>
      <c r="S775" s="1">
        <v>1.74</v>
      </c>
      <c r="T775" s="1">
        <f t="shared" si="70"/>
        <v>1.74</v>
      </c>
      <c r="U775" s="12">
        <v>2</v>
      </c>
      <c r="V775" s="13">
        <v>1.399975</v>
      </c>
      <c r="W775" s="14">
        <f t="shared" si="71"/>
        <v>9787.6732169999996</v>
      </c>
      <c r="X775" s="25"/>
      <c r="Y775" s="14">
        <f t="shared" si="72"/>
        <v>9787.6732169999996</v>
      </c>
      <c r="Z775" s="3"/>
      <c r="AA775" s="3"/>
      <c r="AB775" s="5"/>
      <c r="AC775" s="1"/>
      <c r="AD775" s="28"/>
      <c r="AE775" s="28"/>
      <c r="AF775" s="3"/>
      <c r="AG775" s="7"/>
      <c r="AH775" s="7"/>
      <c r="AI775" s="3" t="s">
        <v>107</v>
      </c>
      <c r="AJ775" s="7" t="s">
        <v>44</v>
      </c>
      <c r="AK775" s="3"/>
      <c r="AL775" cm="1">
        <f t="array" ref="AL775">IF(getColor(V775) = 16777215, 0, 1)</f>
        <v>0</v>
      </c>
    </row>
    <row r="776" spans="1:38">
      <c r="A776" s="1">
        <v>775</v>
      </c>
      <c r="B776" s="3" t="s">
        <v>27</v>
      </c>
      <c r="C776" s="7" t="s">
        <v>372</v>
      </c>
      <c r="D776" s="7" t="s">
        <v>156</v>
      </c>
      <c r="E776" s="8">
        <v>54.937466666666673</v>
      </c>
      <c r="F776" s="8">
        <v>-132.99163333333334</v>
      </c>
      <c r="G776" s="9" t="s">
        <v>30</v>
      </c>
      <c r="H776" s="3" t="s">
        <v>31</v>
      </c>
      <c r="I776" s="3" t="s">
        <v>31</v>
      </c>
      <c r="J776" s="3" t="s">
        <v>31</v>
      </c>
      <c r="K776" s="7" t="s">
        <v>53</v>
      </c>
      <c r="L776" s="9">
        <v>8</v>
      </c>
      <c r="M776" s="9">
        <v>0</v>
      </c>
      <c r="N776" s="9">
        <f t="shared" si="69"/>
        <v>8</v>
      </c>
      <c r="O776" s="29">
        <f>M778</f>
        <v>102</v>
      </c>
      <c r="P776" s="29">
        <f>L776</f>
        <v>8</v>
      </c>
      <c r="Q776" s="29">
        <f>P776+O776</f>
        <v>110</v>
      </c>
      <c r="R776" s="11">
        <v>0</v>
      </c>
      <c r="S776" s="1">
        <v>0.11</v>
      </c>
      <c r="T776" s="1">
        <f t="shared" si="70"/>
        <v>0.11</v>
      </c>
      <c r="U776" s="12">
        <v>0</v>
      </c>
      <c r="V776" s="13">
        <v>20.623080000000002</v>
      </c>
      <c r="W776" s="14">
        <f t="shared" si="71"/>
        <v>1814.8310400000003</v>
      </c>
      <c r="X776" s="14">
        <f>SUM(W776:W778)</f>
        <v>18765.699375000004</v>
      </c>
      <c r="Y776" s="14">
        <f t="shared" si="72"/>
        <v>1814.8310400000003</v>
      </c>
      <c r="Z776" s="15">
        <f>SUM(Y776:Y778)/10^6*10^4</f>
        <v>183.95568384600003</v>
      </c>
      <c r="AA776" s="16">
        <v>29.255973411001921</v>
      </c>
      <c r="AB776" s="5"/>
      <c r="AC776" s="1"/>
      <c r="AD776" s="28"/>
      <c r="AE776" s="28"/>
      <c r="AF776" s="3"/>
      <c r="AG776" s="7"/>
      <c r="AH776" s="7"/>
      <c r="AI776" s="3" t="s">
        <v>107</v>
      </c>
      <c r="AJ776" s="7" t="s">
        <v>53</v>
      </c>
      <c r="AK776" s="3"/>
      <c r="AL776" cm="1">
        <f t="array" ref="AL776">IF(getColor(V776) = 16777215, 0, 1)</f>
        <v>0</v>
      </c>
    </row>
    <row r="777" spans="1:38">
      <c r="A777" s="1">
        <v>776</v>
      </c>
      <c r="B777" s="3" t="s">
        <v>27</v>
      </c>
      <c r="C777" s="7" t="s">
        <v>372</v>
      </c>
      <c r="D777" s="7" t="s">
        <v>156</v>
      </c>
      <c r="E777" s="8">
        <v>54.937466666666673</v>
      </c>
      <c r="F777" s="8">
        <v>-132.99163333333334</v>
      </c>
      <c r="G777" s="9" t="s">
        <v>30</v>
      </c>
      <c r="H777" s="3" t="s">
        <v>31</v>
      </c>
      <c r="I777" s="3" t="s">
        <v>31</v>
      </c>
      <c r="J777" s="3" t="s">
        <v>31</v>
      </c>
      <c r="K777" s="7" t="s">
        <v>77</v>
      </c>
      <c r="L777" s="9">
        <v>0</v>
      </c>
      <c r="M777" s="9">
        <v>61</v>
      </c>
      <c r="N777" s="9">
        <f t="shared" si="69"/>
        <v>61</v>
      </c>
      <c r="O777" s="9"/>
      <c r="P777" s="9"/>
      <c r="Q777" s="25"/>
      <c r="R777" s="11">
        <v>0</v>
      </c>
      <c r="S777" s="1">
        <v>0.86</v>
      </c>
      <c r="T777" s="1">
        <f t="shared" si="70"/>
        <v>0.86</v>
      </c>
      <c r="U777" s="12">
        <v>22</v>
      </c>
      <c r="V777" s="13">
        <v>2.2882350000000002</v>
      </c>
      <c r="W777" s="14">
        <f t="shared" si="71"/>
        <v>9363.1830318000011</v>
      </c>
      <c r="X777" s="25"/>
      <c r="Y777" s="14">
        <f t="shared" si="72"/>
        <v>9363.1830318000011</v>
      </c>
      <c r="Z777" s="3"/>
      <c r="AA777" s="3"/>
      <c r="AB777" s="5"/>
      <c r="AC777" s="5"/>
      <c r="AD777" s="28"/>
      <c r="AE777" s="28"/>
      <c r="AF777" s="3"/>
      <c r="AG777" s="7"/>
      <c r="AH777" s="7"/>
      <c r="AI777" s="3" t="s">
        <v>107</v>
      </c>
      <c r="AJ777" s="7" t="s">
        <v>78</v>
      </c>
      <c r="AK777" s="3"/>
      <c r="AL777" cm="1">
        <f t="array" ref="AL777">IF(getColor(V777) = 16777215, 0, 1)</f>
        <v>0</v>
      </c>
    </row>
    <row r="778" spans="1:38">
      <c r="A778" s="1">
        <v>777</v>
      </c>
      <c r="B778" s="3" t="s">
        <v>27</v>
      </c>
      <c r="C778" s="7" t="s">
        <v>372</v>
      </c>
      <c r="D778" s="7" t="s">
        <v>156</v>
      </c>
      <c r="E778" s="8">
        <v>54.937466666666673</v>
      </c>
      <c r="F778" s="8">
        <v>-132.99163333333334</v>
      </c>
      <c r="G778" s="9" t="s">
        <v>30</v>
      </c>
      <c r="H778" s="3" t="s">
        <v>31</v>
      </c>
      <c r="I778" s="3" t="s">
        <v>31</v>
      </c>
      <c r="J778" s="3" t="s">
        <v>31</v>
      </c>
      <c r="K778" s="7" t="s">
        <v>44</v>
      </c>
      <c r="L778" s="9">
        <v>61</v>
      </c>
      <c r="M778" s="9">
        <v>102</v>
      </c>
      <c r="N778" s="9">
        <f t="shared" si="69"/>
        <v>41</v>
      </c>
      <c r="O778" s="9"/>
      <c r="P778" s="9"/>
      <c r="Q778" s="25"/>
      <c r="R778" s="11">
        <v>0</v>
      </c>
      <c r="S778" s="1">
        <v>1.74</v>
      </c>
      <c r="T778" s="1">
        <f t="shared" si="70"/>
        <v>1.74</v>
      </c>
      <c r="U778" s="12">
        <v>19</v>
      </c>
      <c r="V778" s="13">
        <v>1.31308</v>
      </c>
      <c r="W778" s="14">
        <f t="shared" si="71"/>
        <v>7587.6853031999999</v>
      </c>
      <c r="X778" s="25"/>
      <c r="Y778" s="14">
        <f>IF(L778&gt;-100,W778-W778*(ABS(M778)-100)/(ABS(M778)-ABS(L778)),0)</f>
        <v>7217.5543127999999</v>
      </c>
      <c r="Z778" s="3"/>
      <c r="AA778" s="3"/>
      <c r="AB778" s="5"/>
      <c r="AC778" s="1"/>
      <c r="AD778" s="28"/>
      <c r="AE778" s="28"/>
      <c r="AF778" s="3"/>
      <c r="AG778" s="7"/>
      <c r="AH778" s="7"/>
      <c r="AI778" s="3" t="s">
        <v>107</v>
      </c>
      <c r="AJ778" s="7" t="s">
        <v>44</v>
      </c>
      <c r="AK778" s="3"/>
      <c r="AL778" cm="1">
        <f t="array" ref="AL778">IF(getColor(V778) = 16777215, 0, 1)</f>
        <v>0</v>
      </c>
    </row>
  </sheetData>
  <autoFilter ref="AL1:AL778" xr:uid="{A17BF036-03B4-417F-869F-6563309CA21B}"/>
  <mergeCells count="3">
    <mergeCell ref="AD1:AE1"/>
    <mergeCell ref="O3:Q7"/>
    <mergeCell ref="AB12:AD16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Aarin Bothra</cp:lastModifiedBy>
  <dcterms:created xsi:type="dcterms:W3CDTF">2022-01-20T04:56:04Z</dcterms:created>
  <dcterms:modified xsi:type="dcterms:W3CDTF">2024-07-30T16:55:12Z</dcterms:modified>
</cp:coreProperties>
</file>